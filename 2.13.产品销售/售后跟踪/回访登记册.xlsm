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defaultThemeVersion="124226"/>
  <bookViews>
    <workbookView xWindow="360" yWindow="165" windowWidth="10755" windowHeight="3300"/>
  </bookViews>
  <sheets>
    <sheet name="回访登记表" sheetId="1" r:id="rId1"/>
    <sheet name="项目清单" sheetId="2" r:id="rId2"/>
    <sheet name="交付清单" sheetId="3" r:id="rId3"/>
    <sheet name="产品清单" sheetId="4" r:id="rId4"/>
  </sheets>
  <definedNames>
    <definedName name="name">回访登记表!$C$3</definedName>
    <definedName name="product">交付清单!$A:$E</definedName>
    <definedName name="project">项目清单!$A:$G</definedName>
  </definedNames>
  <calcPr calcId="145621"/>
</workbook>
</file>

<file path=xl/calcChain.xml><?xml version="1.0" encoding="utf-8"?>
<calcChain xmlns="http://schemas.openxmlformats.org/spreadsheetml/2006/main">
  <c r="C5" i="1" l="1"/>
  <c r="E4" i="1" l="1"/>
  <c r="E5" i="1" l="1"/>
  <c r="C4" i="1"/>
  <c r="C46" i="3" l="1"/>
  <c r="B46" i="3"/>
  <c r="C55" i="3"/>
  <c r="B55" i="3"/>
  <c r="C54" i="3"/>
  <c r="B54" i="3"/>
  <c r="C53" i="3"/>
  <c r="B53" i="3"/>
  <c r="C52" i="3"/>
  <c r="B52" i="3"/>
  <c r="C51" i="3"/>
  <c r="B51" i="3"/>
  <c r="C50" i="3"/>
  <c r="B50" i="3"/>
  <c r="C49" i="3"/>
  <c r="B49" i="3"/>
  <c r="C48" i="3"/>
  <c r="B48" i="3"/>
  <c r="C47" i="3"/>
  <c r="B47" i="3"/>
  <c r="C45" i="3"/>
  <c r="B45" i="3"/>
  <c r="C44" i="3"/>
  <c r="B44" i="3"/>
  <c r="C43" i="3"/>
  <c r="B43" i="3"/>
  <c r="C42" i="3"/>
  <c r="B42" i="3"/>
  <c r="C41" i="3"/>
  <c r="B41" i="3"/>
  <c r="C40" i="3"/>
  <c r="B40" i="3"/>
  <c r="C39" i="3"/>
  <c r="B39" i="3"/>
  <c r="C38" i="3"/>
  <c r="B38" i="3"/>
  <c r="B37" i="3" l="1"/>
  <c r="C37" i="3"/>
  <c r="G18" i="1" l="1"/>
  <c r="G19" i="1"/>
  <c r="G20" i="1"/>
  <c r="G21" i="1"/>
  <c r="G22" i="1"/>
  <c r="G23" i="1"/>
  <c r="H23" i="1" s="1"/>
  <c r="G24" i="1"/>
  <c r="G25" i="1"/>
  <c r="H25" i="1" s="1"/>
  <c r="G26" i="1"/>
  <c r="G27" i="1"/>
  <c r="H27" i="1" s="1"/>
  <c r="G28" i="1"/>
  <c r="H28" i="1" s="1"/>
  <c r="G29" i="1"/>
  <c r="H29" i="1" s="1"/>
  <c r="G30" i="1"/>
  <c r="H30" i="1" s="1"/>
  <c r="G31" i="1"/>
  <c r="H31" i="1" s="1"/>
  <c r="G32" i="1"/>
  <c r="H32" i="1" s="1"/>
  <c r="G33" i="1"/>
  <c r="H33" i="1" s="1"/>
  <c r="G34" i="1"/>
  <c r="H34" i="1" s="1"/>
  <c r="G35" i="1"/>
  <c r="H35" i="1" s="1"/>
  <c r="G17" i="1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2" i="3"/>
  <c r="H18" i="1" s="1"/>
  <c r="H22" i="1"/>
  <c r="H24" i="1"/>
  <c r="H26" i="1"/>
  <c r="H21" i="1" l="1"/>
  <c r="H20" i="1"/>
  <c r="H19" i="1"/>
  <c r="H17" i="1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2" i="3"/>
  <c r="G7" i="1" s="1"/>
  <c r="E2" i="1"/>
  <c r="G10" i="1" l="1"/>
  <c r="G12" i="1"/>
  <c r="G11" i="1"/>
  <c r="G13" i="1"/>
  <c r="G5" i="1"/>
  <c r="G9" i="1"/>
  <c r="G6" i="1"/>
  <c r="G8" i="1"/>
  <c r="G4" i="1"/>
  <c r="I13" i="1" l="1"/>
  <c r="L13" i="1"/>
  <c r="M13" i="1"/>
  <c r="J13" i="1"/>
  <c r="K13" i="1"/>
  <c r="J12" i="1"/>
  <c r="M12" i="1"/>
  <c r="I12" i="1"/>
  <c r="L12" i="1"/>
  <c r="K12" i="1"/>
  <c r="I11" i="1"/>
  <c r="J11" i="1"/>
  <c r="K11" i="1"/>
  <c r="L11" i="1"/>
  <c r="M11" i="1"/>
  <c r="J10" i="1"/>
  <c r="K10" i="1"/>
  <c r="M10" i="1"/>
  <c r="I10" i="1"/>
  <c r="L10" i="1"/>
  <c r="K4" i="1"/>
  <c r="M4" i="1"/>
  <c r="J4" i="1"/>
  <c r="L4" i="1"/>
  <c r="I4" i="1"/>
  <c r="J6" i="1"/>
  <c r="L6" i="1"/>
  <c r="I6" i="1"/>
  <c r="K6" i="1"/>
  <c r="M6" i="1"/>
  <c r="I7" i="1"/>
  <c r="K7" i="1"/>
  <c r="M7" i="1"/>
  <c r="J7" i="1"/>
  <c r="L7" i="1"/>
  <c r="J8" i="1"/>
  <c r="L8" i="1"/>
  <c r="I8" i="1"/>
  <c r="K8" i="1"/>
  <c r="M8" i="1"/>
  <c r="I9" i="1"/>
  <c r="K9" i="1"/>
  <c r="M9" i="1"/>
  <c r="J9" i="1"/>
  <c r="L9" i="1"/>
  <c r="I5" i="1"/>
  <c r="K5" i="1"/>
  <c r="M5" i="1"/>
  <c r="J5" i="1"/>
  <c r="L5" i="1"/>
</calcChain>
</file>

<file path=xl/sharedStrings.xml><?xml version="1.0" encoding="utf-8"?>
<sst xmlns="http://schemas.openxmlformats.org/spreadsheetml/2006/main" count="97" uniqueCount="70">
  <si>
    <t>产品回访登记表</t>
    <phoneticPr fontId="1" type="noConversion"/>
  </si>
  <si>
    <t>产品名称：</t>
    <phoneticPr fontId="1" type="noConversion"/>
  </si>
  <si>
    <t>产品经理：</t>
    <phoneticPr fontId="1" type="noConversion"/>
  </si>
  <si>
    <t>所属事业部：</t>
    <phoneticPr fontId="1" type="noConversion"/>
  </si>
  <si>
    <t>累计销售金额：</t>
    <phoneticPr fontId="1" type="noConversion"/>
  </si>
  <si>
    <t>日期</t>
    <phoneticPr fontId="1" type="noConversion"/>
  </si>
  <si>
    <t>项目名称</t>
    <phoneticPr fontId="1" type="noConversion"/>
  </si>
  <si>
    <t>回访记录</t>
    <phoneticPr fontId="1" type="noConversion"/>
  </si>
  <si>
    <t>产品线：</t>
    <phoneticPr fontId="1" type="noConversion"/>
  </si>
  <si>
    <t>产品交付项目列表</t>
    <phoneticPr fontId="1" type="noConversion"/>
  </si>
  <si>
    <t>交付内容</t>
    <phoneticPr fontId="1" type="noConversion"/>
  </si>
  <si>
    <t>项目名称</t>
    <phoneticPr fontId="1" type="noConversion"/>
  </si>
  <si>
    <t>合同回归时间</t>
  </si>
  <si>
    <t>联系人</t>
    <phoneticPr fontId="1" type="noConversion"/>
  </si>
  <si>
    <t>联系方式</t>
    <phoneticPr fontId="1" type="noConversion"/>
  </si>
  <si>
    <t>职务</t>
    <phoneticPr fontId="1" type="noConversion"/>
  </si>
  <si>
    <t>项目编码</t>
    <phoneticPr fontId="1" type="noConversion"/>
  </si>
  <si>
    <t>项目编码</t>
    <phoneticPr fontId="1" type="noConversion"/>
  </si>
  <si>
    <t>项目名称</t>
    <phoneticPr fontId="1" type="noConversion"/>
  </si>
  <si>
    <t>交付内容</t>
    <phoneticPr fontId="1" type="noConversion"/>
  </si>
  <si>
    <t>实施结项时间</t>
    <phoneticPr fontId="1" type="noConversion"/>
  </si>
  <si>
    <t>项目交付清单</t>
    <phoneticPr fontId="1" type="noConversion"/>
  </si>
  <si>
    <t>项目回访记录</t>
    <phoneticPr fontId="1" type="noConversion"/>
  </si>
  <si>
    <t>项目名称</t>
    <phoneticPr fontId="1" type="noConversion"/>
  </si>
  <si>
    <t>No</t>
    <phoneticPr fontId="1" type="noConversion"/>
  </si>
  <si>
    <t>辅助列1</t>
    <phoneticPr fontId="1" type="noConversion"/>
  </si>
  <si>
    <t>辅助列2</t>
    <phoneticPr fontId="1" type="noConversion"/>
  </si>
  <si>
    <t>说明：
1.每款产品一个Excel文件；
2.通过光标移动，在产品交付项目列表中选择项目，可查看该项目的交付清单；
3.该文档仅绿色区域可编辑，其它区域请勿修改;
4.后续可以将功能纳入内部管理系统。</t>
    <phoneticPr fontId="1" type="noConversion"/>
  </si>
  <si>
    <t>产品编码</t>
    <phoneticPr fontId="1" type="noConversion"/>
  </si>
  <si>
    <t>产品名称</t>
    <phoneticPr fontId="1" type="noConversion"/>
  </si>
  <si>
    <t>产品经理</t>
    <phoneticPr fontId="1" type="noConversion"/>
  </si>
  <si>
    <t>所属事业部</t>
    <phoneticPr fontId="1" type="noConversion"/>
  </si>
  <si>
    <t>产品线</t>
    <phoneticPr fontId="1" type="noConversion"/>
  </si>
  <si>
    <t>金额（万）</t>
    <phoneticPr fontId="1" type="noConversion"/>
  </si>
  <si>
    <t>国泰安商业银行立体教学平台软件</t>
  </si>
  <si>
    <t>山东亿维系统集成股份有限公司（济宁学院）-金融实验室</t>
  </si>
  <si>
    <t>SP-201701-00001557</t>
  </si>
  <si>
    <t>SP-201612-00001394</t>
  </si>
  <si>
    <t>北京聚源锐思数据科技有限公司（广州大学）-金融统计软件项目</t>
  </si>
  <si>
    <t>SP-201612-00001541</t>
  </si>
  <si>
    <t>湖南科技学院-金融实验室</t>
  </si>
  <si>
    <t>马帅奇</t>
  </si>
  <si>
    <t>主任</t>
  </si>
  <si>
    <t>张老师</t>
  </si>
  <si>
    <t>实验室管理员</t>
  </si>
  <si>
    <t>李清泉</t>
  </si>
  <si>
    <t>院长</t>
  </si>
  <si>
    <t>SD-FNBK-US-012-SC-09</t>
    <phoneticPr fontId="1" type="noConversion"/>
  </si>
  <si>
    <t>金融事业部</t>
    <phoneticPr fontId="1" type="noConversion"/>
  </si>
  <si>
    <t>实训产品线</t>
    <phoneticPr fontId="1" type="noConversion"/>
  </si>
  <si>
    <t>胡睿</t>
    <phoneticPr fontId="1" type="noConversion"/>
  </si>
  <si>
    <t>SP-201701-00001558</t>
  </si>
  <si>
    <t>SP-201701-00001559</t>
  </si>
  <si>
    <t>国泰安CSMAR数据库查询软件</t>
  </si>
  <si>
    <t>国泰安虚拟交易所系统</t>
  </si>
  <si>
    <t>国泰安金融理财规划业务教学系统软件</t>
  </si>
  <si>
    <t>国泰安期货投资分析教学系统软件</t>
  </si>
  <si>
    <t>SP-201612-00001395</t>
  </si>
  <si>
    <t>SP-201612-00001396</t>
  </si>
  <si>
    <t>国泰安经济金融模型实训平台软件</t>
  </si>
  <si>
    <t>SP-201612-00001542</t>
  </si>
  <si>
    <t>SP-201612-00001543</t>
  </si>
  <si>
    <t>SP-201612-00001544</t>
  </si>
  <si>
    <t>SP-201612-00001545</t>
  </si>
  <si>
    <t>ERP for SCHOOL新道教学系统（代理产品）</t>
    <phoneticPr fontId="1" type="noConversion"/>
  </si>
  <si>
    <t>国泰安市场通标准版软件</t>
    <phoneticPr fontId="1" type="noConversion"/>
  </si>
  <si>
    <t>15376523579</t>
    <phoneticPr fontId="1" type="noConversion"/>
  </si>
  <si>
    <t>18028007605</t>
    <phoneticPr fontId="1" type="noConversion"/>
  </si>
  <si>
    <t>13907463295</t>
    <phoneticPr fontId="1" type="noConversion"/>
  </si>
  <si>
    <t>山东亿维系统集成股份有限公司（济宁学院）-金融实验室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</si>
</sst>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yyyy&quot;年&quot;m&quot;月&quot;;@"/>
    <numFmt numFmtId="177" formatCode="0.00_ "/>
  </numFmts>
  <fonts count="14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10"/>
      <name val="宋体"/>
      <family val="3"/>
      <charset val="134"/>
    </font>
    <font>
      <b/>
      <sz val="11"/>
      <color theme="0"/>
      <name val="宋体"/>
      <family val="3"/>
      <charset val="134"/>
      <scheme val="minor"/>
    </font>
    <font>
      <sz val="10"/>
      <color theme="1"/>
      <name val="宋体"/>
      <family val="2"/>
      <charset val="134"/>
      <scheme val="minor"/>
    </font>
    <font>
      <sz val="9"/>
      <color rgb="FF004C8C"/>
      <name val="Microsoft YaHei"/>
      <family val="2"/>
    </font>
    <font>
      <sz val="9"/>
      <color theme="1"/>
      <name val="宋体"/>
      <family val="2"/>
      <charset val="134"/>
      <scheme val="minor"/>
    </font>
    <font>
      <sz val="9"/>
      <color theme="1"/>
      <name val="宋体"/>
      <family val="3"/>
      <charset val="134"/>
      <scheme val="minor"/>
    </font>
    <font>
      <b/>
      <sz val="9"/>
      <color theme="1"/>
      <name val="宋体"/>
      <family val="3"/>
      <charset val="134"/>
      <scheme val="minor"/>
    </font>
    <font>
      <b/>
      <sz val="9"/>
      <name val="宋体"/>
      <family val="3"/>
      <charset val="134"/>
    </font>
    <font>
      <sz val="9"/>
      <color rgb="FF008000"/>
      <name val="Microsoft YaHei"/>
      <family val="2"/>
    </font>
    <font>
      <b/>
      <sz val="9"/>
      <color rgb="FF0070C0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>
      <alignment vertical="center"/>
    </xf>
  </cellStyleXfs>
  <cellXfs count="64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>
      <alignment vertical="center"/>
    </xf>
    <xf numFmtId="0" fontId="2" fillId="2" borderId="0" xfId="0" applyFont="1" applyFill="1">
      <alignment vertical="center"/>
    </xf>
    <xf numFmtId="0" fontId="0" fillId="2" borderId="0" xfId="0" applyFill="1">
      <alignment vertical="center"/>
    </xf>
    <xf numFmtId="0" fontId="5" fillId="2" borderId="0" xfId="0" applyFont="1" applyFill="1">
      <alignment vertical="center"/>
    </xf>
    <xf numFmtId="0" fontId="5" fillId="2" borderId="0" xfId="0" applyFont="1" applyFill="1" applyAlignment="1">
      <alignment horizontal="right" vertical="center"/>
    </xf>
    <xf numFmtId="0" fontId="0" fillId="0" borderId="5" xfId="0" applyFill="1" applyBorder="1">
      <alignment vertical="center"/>
    </xf>
    <xf numFmtId="0" fontId="2" fillId="3" borderId="2" xfId="0" applyFont="1" applyFill="1" applyBorder="1" applyAlignment="1">
      <alignment vertical="center"/>
    </xf>
    <xf numFmtId="0" fontId="0" fillId="0" borderId="1" xfId="0" quotePrefix="1" applyBorder="1">
      <alignment vertical="center"/>
    </xf>
    <xf numFmtId="14" fontId="0" fillId="2" borderId="0" xfId="0" applyNumberFormat="1" applyFill="1">
      <alignment vertical="center"/>
    </xf>
    <xf numFmtId="0" fontId="0" fillId="2" borderId="0" xfId="0" applyFill="1" applyAlignment="1">
      <alignment horizontal="center" vertical="center"/>
    </xf>
    <xf numFmtId="0" fontId="0" fillId="5" borderId="1" xfId="0" applyFill="1" applyBorder="1" applyAlignment="1">
      <alignment vertical="center"/>
    </xf>
    <xf numFmtId="0" fontId="0" fillId="0" borderId="0" xfId="0" applyAlignment="1">
      <alignment vertical="top"/>
    </xf>
    <xf numFmtId="0" fontId="6" fillId="0" borderId="1" xfId="0" applyNumberFormat="1" applyFont="1" applyFill="1" applyBorder="1" applyAlignment="1" applyProtection="1"/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7" fillId="0" borderId="1" xfId="0" applyFont="1" applyBorder="1">
      <alignment vertical="center"/>
    </xf>
    <xf numFmtId="0" fontId="7" fillId="0" borderId="1" xfId="0" applyFont="1" applyBorder="1" applyAlignment="1">
      <alignment horizontal="center" vertical="center" wrapText="1"/>
    </xf>
    <xf numFmtId="0" fontId="0" fillId="0" borderId="1" xfId="0" applyFill="1" applyBorder="1">
      <alignment vertical="center"/>
    </xf>
    <xf numFmtId="0" fontId="8" fillId="0" borderId="1" xfId="0" applyFont="1" applyBorder="1">
      <alignment vertical="center"/>
    </xf>
    <xf numFmtId="0" fontId="7" fillId="0" borderId="1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 wrapText="1"/>
    </xf>
    <xf numFmtId="0" fontId="0" fillId="0" borderId="7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8" fillId="4" borderId="1" xfId="0" applyFont="1" applyFill="1" applyBorder="1">
      <alignment vertical="center"/>
    </xf>
    <xf numFmtId="14" fontId="8" fillId="4" borderId="1" xfId="0" applyNumberFormat="1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0" fontId="10" fillId="3" borderId="1" xfId="0" applyFont="1" applyFill="1" applyBorder="1">
      <alignment vertical="center"/>
    </xf>
    <xf numFmtId="0" fontId="9" fillId="5" borderId="1" xfId="0" applyFont="1" applyFill="1" applyBorder="1">
      <alignment vertical="center"/>
    </xf>
    <xf numFmtId="177" fontId="9" fillId="5" borderId="1" xfId="0" applyNumberFormat="1" applyFont="1" applyFill="1" applyBorder="1">
      <alignment vertical="center"/>
    </xf>
    <xf numFmtId="176" fontId="11" fillId="3" borderId="1" xfId="0" applyNumberFormat="1" applyFont="1" applyFill="1" applyBorder="1" applyAlignment="1" applyProtection="1">
      <alignment horizontal="center" vertical="center" wrapText="1"/>
    </xf>
    <xf numFmtId="14" fontId="8" fillId="5" borderId="4" xfId="0" applyNumberFormat="1" applyFont="1" applyFill="1" applyBorder="1">
      <alignment vertical="center"/>
    </xf>
    <xf numFmtId="19" fontId="5" fillId="2" borderId="0" xfId="0" applyNumberFormat="1" applyFont="1" applyFill="1" applyAlignment="1">
      <alignment vertical="center" wrapText="1"/>
    </xf>
    <xf numFmtId="0" fontId="7" fillId="0" borderId="1" xfId="0" quotePrefix="1" applyFont="1" applyBorder="1">
      <alignment vertical="center"/>
    </xf>
    <xf numFmtId="176" fontId="4" fillId="0" borderId="1" xfId="0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vertical="center"/>
    </xf>
    <xf numFmtId="0" fontId="7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176" fontId="4" fillId="0" borderId="1" xfId="0" applyNumberFormat="1" applyFont="1" applyFill="1" applyBorder="1" applyAlignment="1" applyProtection="1">
      <alignment horizontal="left" vertical="center" wrapText="1"/>
    </xf>
    <xf numFmtId="176" fontId="4" fillId="0" borderId="1" xfId="0" applyNumberFormat="1" applyFont="1" applyFill="1" applyBorder="1" applyAlignment="1" applyProtection="1">
      <alignment horizontal="right" vertical="center" wrapText="1"/>
    </xf>
    <xf numFmtId="14" fontId="0" fillId="0" borderId="1" xfId="0" applyNumberFormat="1" applyBorder="1" applyAlignment="1">
      <alignment horizontal="right" vertical="center"/>
    </xf>
    <xf numFmtId="0" fontId="0" fillId="0" borderId="0" xfId="0" applyAlignment="1">
      <alignment horizontal="right" vertical="center"/>
    </xf>
    <xf numFmtId="14" fontId="12" fillId="0" borderId="1" xfId="0" applyNumberFormat="1" applyFont="1" applyBorder="1" applyAlignment="1">
      <alignment horizontal="right" vertical="center"/>
    </xf>
    <xf numFmtId="14" fontId="8" fillId="5" borderId="1" xfId="0" applyNumberFormat="1" applyFont="1" applyFill="1" applyBorder="1">
      <alignment vertical="center"/>
    </xf>
    <xf numFmtId="0" fontId="0" fillId="0" borderId="0" xfId="0" applyAlignment="1">
      <alignment horizontal="left" vertical="top" wrapText="1"/>
    </xf>
    <xf numFmtId="0" fontId="0" fillId="5" borderId="1" xfId="0" applyFill="1" applyBorder="1" applyAlignment="1">
      <alignment horizontal="center" vertical="center"/>
    </xf>
    <xf numFmtId="0" fontId="10" fillId="5" borderId="2" xfId="0" applyFont="1" applyFill="1" applyBorder="1" applyAlignment="1">
      <alignment horizontal="center" vertical="center"/>
    </xf>
    <xf numFmtId="0" fontId="10" fillId="5" borderId="3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6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10" fillId="3" borderId="2" xfId="0" applyFont="1" applyFill="1" applyBorder="1" applyAlignment="1">
      <alignment horizontal="center" vertical="center"/>
    </xf>
    <xf numFmtId="0" fontId="10" fillId="3" borderId="3" xfId="0" applyFont="1" applyFill="1" applyBorder="1" applyAlignment="1">
      <alignment horizontal="center" vertical="center"/>
    </xf>
    <xf numFmtId="0" fontId="13" fillId="5" borderId="2" xfId="0" applyFont="1" applyFill="1" applyBorder="1" applyAlignment="1">
      <alignment horizontal="left" vertical="center"/>
    </xf>
    <xf numFmtId="0" fontId="13" fillId="5" borderId="3" xfId="0" applyFont="1" applyFill="1" applyBorder="1" applyAlignment="1">
      <alignment horizontal="left" vertical="center"/>
    </xf>
    <xf numFmtId="0" fontId="9" fillId="4" borderId="1" xfId="0" applyFont="1" applyFill="1" applyBorder="1" applyAlignment="1">
      <alignment horizontal="left" vertical="center"/>
    </xf>
    <xf numFmtId="0" fontId="10" fillId="3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0" fontId="9" fillId="4" borderId="3" xfId="0" applyFont="1" applyFill="1" applyBorder="1" applyAlignment="1">
      <alignment horizontal="center" vertical="center"/>
    </xf>
  </cellXfs>
  <cellStyles count="2">
    <cellStyle name="常规" xfId="0" builtinId="0"/>
    <cellStyle name="常规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M35"/>
  <sheetViews>
    <sheetView tabSelected="1" workbookViewId="0">
      <pane xSplit="5" ySplit="16" topLeftCell="F17" activePane="bottomRight" state="frozen"/>
      <selection pane="topRight" activeCell="F1" sqref="F1"/>
      <selection pane="bottomLeft" activeCell="A17" sqref="A17"/>
      <selection pane="bottomRight" activeCell="C9" sqref="C9"/>
    </sheetView>
  </sheetViews>
  <sheetFormatPr defaultRowHeight="13.5"/>
  <cols>
    <col min="1" max="1" width="1.625" customWidth="1"/>
    <col min="2" max="2" width="14.75" customWidth="1"/>
    <col min="3" max="3" width="22.25" customWidth="1"/>
    <col min="4" max="4" width="17.125" customWidth="1"/>
    <col min="5" max="5" width="28.125" customWidth="1"/>
    <col min="6" max="6" width="3.625" customWidth="1"/>
    <col min="7" max="7" width="5.375" style="2" customWidth="1"/>
    <col min="8" max="8" width="21.25" style="2" customWidth="1"/>
    <col min="9" max="9" width="10.375" customWidth="1"/>
    <col min="10" max="10" width="8.75" customWidth="1"/>
    <col min="11" max="11" width="9.75" bestFit="1" customWidth="1"/>
    <col min="12" max="12" width="8.625" customWidth="1"/>
    <col min="13" max="13" width="10.875" customWidth="1"/>
  </cols>
  <sheetData>
    <row r="1" spans="2:13" s="2" customFormat="1"/>
    <row r="2" spans="2:13" ht="21" customHeight="1">
      <c r="B2" s="5" t="s">
        <v>0</v>
      </c>
      <c r="C2" s="4"/>
      <c r="D2" s="4"/>
      <c r="E2" s="6" t="str">
        <f>"累计交付项目数："&amp;COUNTIF(交付清单!E:E,name)</f>
        <v>累计交付项目数：3</v>
      </c>
      <c r="G2" s="5" t="s">
        <v>9</v>
      </c>
      <c r="H2" s="5"/>
      <c r="I2" s="35" t="s">
        <v>69</v>
      </c>
      <c r="J2" s="10"/>
      <c r="K2" s="4"/>
      <c r="L2" s="11"/>
      <c r="M2" s="11"/>
    </row>
    <row r="3" spans="2:13" ht="24.95" customHeight="1">
      <c r="B3" s="30" t="s">
        <v>1</v>
      </c>
      <c r="C3" s="59" t="s">
        <v>34</v>
      </c>
      <c r="D3" s="59"/>
      <c r="E3" s="59"/>
      <c r="G3" s="55" t="s">
        <v>23</v>
      </c>
      <c r="H3" s="56"/>
      <c r="I3" s="33" t="s">
        <v>12</v>
      </c>
      <c r="J3" s="33" t="s">
        <v>13</v>
      </c>
      <c r="K3" s="33" t="s">
        <v>14</v>
      </c>
      <c r="L3" s="33" t="s">
        <v>15</v>
      </c>
      <c r="M3" s="33" t="s">
        <v>20</v>
      </c>
    </row>
    <row r="4" spans="2:13" ht="24.95" customHeight="1">
      <c r="B4" s="30" t="s">
        <v>2</v>
      </c>
      <c r="C4" s="31" t="str">
        <f>VLOOKUP(name,产品清单!B:E,2,FALSE)</f>
        <v>胡睿</v>
      </c>
      <c r="D4" s="30" t="s">
        <v>3</v>
      </c>
      <c r="E4" s="31" t="str">
        <f>VLOOKUP(name,产品清单!B:E,3,FALSE)</f>
        <v>金融事业部</v>
      </c>
      <c r="G4" s="57" t="str">
        <f>IF(ROW()-3&gt;COUNTIF(交付清单!E:E,name),"",VLOOKUP(name&amp;ROW()-3,交付清单!B:E,3,FALSE))</f>
        <v>山东亿维系统集成股份有限公司（济宁学院）-金融实验室</v>
      </c>
      <c r="H4" s="58"/>
      <c r="I4" s="34">
        <f>IF($G4="","",INDEX(项目清单!$B:$G,MATCH(回访登记表!$G4,项目清单!$B:$B,0),MATCH(回访登记表!I$3,项目清单!$B$1:$G$1,0)))</f>
        <v>42746</v>
      </c>
      <c r="J4" s="34" t="str">
        <f>IF($G4="","",INDEX(项目清单!$B:$G,MATCH(回访登记表!$G4,项目清单!$B:$B,0),MATCH(回访登记表!J$3,项目清单!$B$1:$G$1,0)))</f>
        <v>马帅奇</v>
      </c>
      <c r="K4" s="34" t="str">
        <f>IF($G4="","",INDEX(项目清单!$B:$G,MATCH(回访登记表!$G4,项目清单!$B:$B,0),MATCH(回访登记表!K$3,项目清单!$B$1:$G$1,0)))</f>
        <v>15376523579</v>
      </c>
      <c r="L4" s="34" t="str">
        <f>IF($G4="","",INDEX(项目清单!$B:$G,MATCH(回访登记表!$G4,项目清单!$B:$B,0),MATCH(回访登记表!L$3,项目清单!$B$1:$G$1,0)))</f>
        <v>主任</v>
      </c>
      <c r="M4" s="47">
        <f>IF($G4="","",INDEX(项目清单!$B:$G,MATCH(回访登记表!$G4,项目清单!$B:$B,0),MATCH(回访登记表!M$3,项目清单!$B$1:$G$1,0)))</f>
        <v>42838</v>
      </c>
    </row>
    <row r="5" spans="2:13" ht="24.95" customHeight="1">
      <c r="B5" s="30" t="s">
        <v>4</v>
      </c>
      <c r="C5" s="32" t="str">
        <f>SUMIF(交付清单!E:E,name,交付清单!F:F)&amp;"万"</f>
        <v>39万</v>
      </c>
      <c r="D5" s="30" t="s">
        <v>8</v>
      </c>
      <c r="E5" s="31" t="str">
        <f>VLOOKUP(name,产品清单!B:E,4,FALSE)</f>
        <v>实训产品线</v>
      </c>
      <c r="G5" s="57" t="str">
        <f>IF(ROW()-3&gt;COUNTIF(交付清单!E:E,name),"",VLOOKUP(name&amp;ROW()-3,交付清单!B:E,3,FALSE))</f>
        <v>北京聚源锐思数据科技有限公司（广州大学）-金融统计软件项目</v>
      </c>
      <c r="H5" s="58"/>
      <c r="I5" s="34">
        <f>IF($G5="","",INDEX(项目清单!$B:$G,MATCH(回访登记表!$G5,项目清单!$B:$B,0),MATCH(回访登记表!I$3,项目清单!$B$1:$G$1,0)))</f>
        <v>42775</v>
      </c>
      <c r="J5" s="34" t="str">
        <f>IF($G5="","",INDEX(项目清单!$B:$G,MATCH(回访登记表!$G5,项目清单!$B:$B,0),MATCH(回访登记表!J$3,项目清单!$B$1:$G$1,0)))</f>
        <v>张老师</v>
      </c>
      <c r="K5" s="34" t="str">
        <f>IF($G5="","",INDEX(项目清单!$B:$G,MATCH(回访登记表!$G5,项目清单!$B:$B,0),MATCH(回访登记表!K$3,项目清单!$B$1:$G$1,0)))</f>
        <v>18028007605</v>
      </c>
      <c r="L5" s="34" t="str">
        <f>IF($G5="","",INDEX(项目清单!$B:$G,MATCH(回访登记表!$G5,项目清单!$B:$B,0),MATCH(回访登记表!L$3,项目清单!$B$1:$G$1,0)))</f>
        <v>实验室管理员</v>
      </c>
      <c r="M5" s="47">
        <f>IF($G5="","",INDEX(项目清单!$B:$G,MATCH(回访登记表!$G5,项目清单!$B:$B,0),MATCH(回访登记表!M$3,项目清单!$B$1:$G$1,0)))</f>
        <v>42826</v>
      </c>
    </row>
    <row r="6" spans="2:13" ht="24.95" customHeight="1">
      <c r="G6" s="57" t="str">
        <f>IF(ROW()-3&gt;COUNTIF(交付清单!E:E,name),"",VLOOKUP(name&amp;ROW()-3,交付清单!B:E,3,FALSE))</f>
        <v>湖南科技学院-金融实验室</v>
      </c>
      <c r="H6" s="58"/>
      <c r="I6" s="34">
        <f>IF($G6="","",INDEX(项目清单!$B:$G,MATCH(回访登记表!$G6,项目清单!$B:$B,0),MATCH(回访登记表!I$3,项目清单!$B$1:$G$1,0)))</f>
        <v>42863</v>
      </c>
      <c r="J6" s="34" t="str">
        <f>IF($G6="","",INDEX(项目清单!$B:$G,MATCH(回访登记表!$G6,项目清单!$B:$B,0),MATCH(回访登记表!J$3,项目清单!$B$1:$G$1,0)))</f>
        <v>李清泉</v>
      </c>
      <c r="K6" s="34" t="str">
        <f>IF($G6="","",INDEX(项目清单!$B:$G,MATCH(回访登记表!$G6,项目清单!$B:$B,0),MATCH(回访登记表!K$3,项目清单!$B$1:$G$1,0)))</f>
        <v>13907463295</v>
      </c>
      <c r="L6" s="34" t="str">
        <f>IF($G6="","",INDEX(项目清单!$B:$G,MATCH(回访登记表!$G6,项目清单!$B:$B,0),MATCH(回访登记表!L$3,项目清单!$B$1:$G$1,0)))</f>
        <v>院长</v>
      </c>
      <c r="M6" s="47">
        <f>IF($G6="","",INDEX(项目清单!$B:$G,MATCH(回访登记表!$G6,项目清单!$B:$B,0),MATCH(回访登记表!M$3,项目清单!$B$1:$G$1,0)))</f>
        <v>0</v>
      </c>
    </row>
    <row r="7" spans="2:13" ht="24.95" customHeight="1">
      <c r="B7" s="5" t="s">
        <v>22</v>
      </c>
      <c r="C7" s="4"/>
      <c r="D7" s="4"/>
      <c r="E7" s="4"/>
      <c r="G7" s="50" t="str">
        <f>IF(ROW()-3&gt;COUNTIF(交付清单!E:E,name),"",VLOOKUP(name&amp;ROW()-3,交付清单!B:E,3,FALSE))</f>
        <v/>
      </c>
      <c r="H7" s="51"/>
      <c r="I7" s="34" t="str">
        <f>IF($G7="","",INDEX(项目清单!$B:$G,MATCH(回访登记表!$G7,项目清单!$B:$B,0),MATCH(回访登记表!I$3,项目清单!$B$1:$G$1,0)))</f>
        <v/>
      </c>
      <c r="J7" s="34" t="str">
        <f>IF($G7="","",INDEX(项目清单!$B:$G,MATCH(回访登记表!$G7,项目清单!$B:$B,0),MATCH(回访登记表!J$3,项目清单!$B$1:$G$1,0)))</f>
        <v/>
      </c>
      <c r="K7" s="34" t="str">
        <f>IF($G7="","",INDEX(项目清单!$B:$G,MATCH(回访登记表!$G7,项目清单!$B:$B,0),MATCH(回访登记表!K$3,项目清单!$B$1:$G$1,0)))</f>
        <v/>
      </c>
      <c r="L7" s="34" t="str">
        <f>IF($G7="","",INDEX(项目清单!$B:$G,MATCH(回访登记表!$G7,项目清单!$B:$B,0),MATCH(回访登记表!L$3,项目清单!$B$1:$G$1,0)))</f>
        <v/>
      </c>
      <c r="M7" s="47" t="str">
        <f>IF($G7="","",INDEX(项目清单!$B:$G,MATCH(回访登记表!$G7,项目清单!$B:$B,0),MATCH(回访登记表!M$3,项目清单!$B$1:$G$1,0)))</f>
        <v/>
      </c>
    </row>
    <row r="8" spans="2:13" ht="24.95" customHeight="1">
      <c r="B8" s="30" t="s">
        <v>5</v>
      </c>
      <c r="C8" s="30" t="s">
        <v>6</v>
      </c>
      <c r="D8" s="60" t="s">
        <v>7</v>
      </c>
      <c r="E8" s="60"/>
      <c r="G8" s="50" t="str">
        <f>IF(ROW()-3&gt;COUNTIF(交付清单!E:E,name),"",VLOOKUP(name&amp;ROW()-3,交付清单!B:E,3,FALSE))</f>
        <v/>
      </c>
      <c r="H8" s="51"/>
      <c r="I8" s="34" t="str">
        <f>IF($G8="","",INDEX(项目清单!$B:$G,MATCH(回访登记表!$G8,项目清单!$B:$B,0),MATCH(回访登记表!I$3,项目清单!$B$1:$G$1,0)))</f>
        <v/>
      </c>
      <c r="J8" s="34" t="str">
        <f>IF($G8="","",INDEX(项目清单!$B:$G,MATCH(回访登记表!$G8,项目清单!$B:$B,0),MATCH(回访登记表!J$3,项目清单!$B$1:$G$1,0)))</f>
        <v/>
      </c>
      <c r="K8" s="34" t="str">
        <f>IF($G8="","",INDEX(项目清单!$B:$G,MATCH(回访登记表!$G8,项目清单!$B:$B,0),MATCH(回访登记表!K$3,项目清单!$B$1:$G$1,0)))</f>
        <v/>
      </c>
      <c r="L8" s="34" t="str">
        <f>IF($G8="","",INDEX(项目清单!$B:$G,MATCH(回访登记表!$G8,项目清单!$B:$B,0),MATCH(回访登记表!L$3,项目清单!$B$1:$G$1,0)))</f>
        <v/>
      </c>
      <c r="M8" s="47" t="str">
        <f>IF($G8="","",INDEX(项目清单!$B:$G,MATCH(回访登记表!$G8,项目清单!$B:$B,0),MATCH(回访登记表!M$3,项目清单!$B$1:$G$1,0)))</f>
        <v/>
      </c>
    </row>
    <row r="9" spans="2:13" ht="24.95" customHeight="1">
      <c r="B9" s="28">
        <v>43185</v>
      </c>
      <c r="C9" s="27" t="s">
        <v>35</v>
      </c>
      <c r="D9" s="61"/>
      <c r="E9" s="61"/>
      <c r="G9" s="50" t="str">
        <f>IF(ROW()-3&gt;COUNTIF(交付清单!E:E,name),"",VLOOKUP(name&amp;ROW()-3,交付清单!B:E,3,FALSE))</f>
        <v/>
      </c>
      <c r="H9" s="51"/>
      <c r="I9" s="34" t="str">
        <f>IF($G9="","",INDEX(项目清单!$B:$G,MATCH(回访登记表!$G9,项目清单!$B:$B,0),MATCH(回访登记表!I$3,项目清单!$B$1:$G$1,0)))</f>
        <v/>
      </c>
      <c r="J9" s="34" t="str">
        <f>IF($G9="","",INDEX(项目清单!$B:$G,MATCH(回访登记表!$G9,项目清单!$B:$B,0),MATCH(回访登记表!J$3,项目清单!$B$1:$G$1,0)))</f>
        <v/>
      </c>
      <c r="K9" s="34" t="str">
        <f>IF($G9="","",INDEX(项目清单!$B:$G,MATCH(回访登记表!$G9,项目清单!$B:$B,0),MATCH(回访登记表!K$3,项目清单!$B$1:$G$1,0)))</f>
        <v/>
      </c>
      <c r="L9" s="34" t="str">
        <f>IF($G9="","",INDEX(项目清单!$B:$G,MATCH(回访登记表!$G9,项目清单!$B:$B,0),MATCH(回访登记表!L$3,项目清单!$B$1:$G$1,0)))</f>
        <v/>
      </c>
      <c r="M9" s="47" t="str">
        <f>IF($G9="","",INDEX(项目清单!$B:$G,MATCH(回访登记表!$G9,项目清单!$B:$B,0),MATCH(回访登记表!M$3,项目清单!$B$1:$G$1,0)))</f>
        <v/>
      </c>
    </row>
    <row r="10" spans="2:13" ht="24.95" customHeight="1">
      <c r="B10" s="28">
        <v>43186</v>
      </c>
      <c r="C10" s="27" t="s">
        <v>38</v>
      </c>
      <c r="D10" s="61"/>
      <c r="E10" s="61"/>
      <c r="G10" s="50" t="str">
        <f>IF(ROW()-3&gt;COUNTIF(交付清单!E:E,name),"",VLOOKUP(name&amp;ROW()-3,交付清单!B:E,3,FALSE))</f>
        <v/>
      </c>
      <c r="H10" s="51"/>
      <c r="I10" s="34" t="str">
        <f>IF($G10="","",INDEX(项目清单!$B:$G,MATCH(回访登记表!$G10,项目清单!$B:$B,0),MATCH(回访登记表!I$3,项目清单!$B$1:$G$1,0)))</f>
        <v/>
      </c>
      <c r="J10" s="34" t="str">
        <f>IF($G10="","",INDEX(项目清单!$B:$G,MATCH(回访登记表!$G10,项目清单!$B:$B,0),MATCH(回访登记表!J$3,项目清单!$B$1:$G$1,0)))</f>
        <v/>
      </c>
      <c r="K10" s="34" t="str">
        <f>IF($G10="","",INDEX(项目清单!$B:$G,MATCH(回访登记表!$G10,项目清单!$B:$B,0),MATCH(回访登记表!K$3,项目清单!$B$1:$G$1,0)))</f>
        <v/>
      </c>
      <c r="L10" s="34" t="str">
        <f>IF($G10="","",INDEX(项目清单!$B:$G,MATCH(回访登记表!$G10,项目清单!$B:$B,0),MATCH(回访登记表!L$3,项目清单!$B$1:$G$1,0)))</f>
        <v/>
      </c>
      <c r="M10" s="47" t="str">
        <f>IF($G10="","",INDEX(项目清单!$B:$G,MATCH(回访登记表!$G10,项目清单!$B:$B,0),MATCH(回访登记表!M$3,项目清单!$B$1:$G$1,0)))</f>
        <v/>
      </c>
    </row>
    <row r="11" spans="2:13" ht="24.95" customHeight="1">
      <c r="B11" s="28">
        <v>43187</v>
      </c>
      <c r="C11" s="27" t="s">
        <v>40</v>
      </c>
      <c r="D11" s="61"/>
      <c r="E11" s="61"/>
      <c r="G11" s="50" t="str">
        <f>IF(ROW()-3&gt;COUNTIF(交付清单!E:E,name),"",VLOOKUP(name&amp;ROW()-3,交付清单!B:E,3,FALSE))</f>
        <v/>
      </c>
      <c r="H11" s="51"/>
      <c r="I11" s="34" t="str">
        <f>IF($G11="","",INDEX(项目清单!$B:$G,MATCH(回访登记表!$G11,项目清单!$B:$B,0),MATCH(回访登记表!I$3,项目清单!$B$1:$G$1,0)))</f>
        <v/>
      </c>
      <c r="J11" s="34" t="str">
        <f>IF($G11="","",INDEX(项目清单!$B:$G,MATCH(回访登记表!$G11,项目清单!$B:$B,0),MATCH(回访登记表!J$3,项目清单!$B$1:$G$1,0)))</f>
        <v/>
      </c>
      <c r="K11" s="34" t="str">
        <f>IF($G11="","",INDEX(项目清单!$B:$G,MATCH(回访登记表!$G11,项目清单!$B:$B,0),MATCH(回访登记表!K$3,项目清单!$B$1:$G$1,0)))</f>
        <v/>
      </c>
      <c r="L11" s="34" t="str">
        <f>IF($G11="","",INDEX(项目清单!$B:$G,MATCH(回访登记表!$G11,项目清单!$B:$B,0),MATCH(回访登记表!L$3,项目清单!$B$1:$G$1,0)))</f>
        <v/>
      </c>
      <c r="M11" s="47" t="str">
        <f>IF($G11="","",INDEX(项目清单!$B:$G,MATCH(回访登记表!$G11,项目清单!$B:$B,0),MATCH(回访登记表!M$3,项目清单!$B$1:$G$1,0)))</f>
        <v/>
      </c>
    </row>
    <row r="12" spans="2:13" ht="24.95" customHeight="1">
      <c r="B12" s="29"/>
      <c r="C12" s="27"/>
      <c r="D12" s="62"/>
      <c r="E12" s="63"/>
      <c r="G12" s="50" t="str">
        <f>IF(ROW()-3&gt;COUNTIF(交付清单!E:E,name),"",VLOOKUP(name&amp;ROW()-3,交付清单!B:E,3,FALSE))</f>
        <v/>
      </c>
      <c r="H12" s="51"/>
      <c r="I12" s="34" t="str">
        <f>IF($G12="","",INDEX(项目清单!$B:$G,MATCH(回访登记表!$G12,项目清单!$B:$B,0),MATCH(回访登记表!I$3,项目清单!$B$1:$G$1,0)))</f>
        <v/>
      </c>
      <c r="J12" s="34" t="str">
        <f>IF($G12="","",INDEX(项目清单!$B:$G,MATCH(回访登记表!$G12,项目清单!$B:$B,0),MATCH(回访登记表!J$3,项目清单!$B$1:$G$1,0)))</f>
        <v/>
      </c>
      <c r="K12" s="34" t="str">
        <f>IF($G12="","",INDEX(项目清单!$B:$G,MATCH(回访登记表!$G12,项目清单!$B:$B,0),MATCH(回访登记表!K$3,项目清单!$B$1:$G$1,0)))</f>
        <v/>
      </c>
      <c r="L12" s="34" t="str">
        <f>IF($G12="","",INDEX(项目清单!$B:$G,MATCH(回访登记表!$G12,项目清单!$B:$B,0),MATCH(回访登记表!L$3,项目清单!$B$1:$G$1,0)))</f>
        <v/>
      </c>
      <c r="M12" s="47" t="str">
        <f>IF($G12="","",INDEX(项目清单!$B:$G,MATCH(回访登记表!$G12,项目清单!$B:$B,0),MATCH(回访登记表!M$3,项目清单!$B$1:$G$1,0)))</f>
        <v/>
      </c>
    </row>
    <row r="13" spans="2:13" ht="24.95" customHeight="1">
      <c r="B13" s="29"/>
      <c r="C13" s="27"/>
      <c r="D13" s="61"/>
      <c r="E13" s="61"/>
      <c r="G13" s="50" t="str">
        <f>IF(ROW()-3&gt;COUNTIF(交付清单!E:E,name),"",VLOOKUP(name&amp;ROW()-3,交付清单!B:E,3,FALSE))</f>
        <v/>
      </c>
      <c r="H13" s="51"/>
      <c r="I13" s="34" t="str">
        <f>IF($G13="","",INDEX(项目清单!$B:$G,MATCH(回访登记表!$G13,项目清单!$B:$B,0),MATCH(回访登记表!I$3,项目清单!$B$1:$G$1,0)))</f>
        <v/>
      </c>
      <c r="J13" s="34" t="str">
        <f>IF($G13="","",INDEX(项目清单!$B:$G,MATCH(回访登记表!$G13,项目清单!$B:$B,0),MATCH(回访登记表!J$3,项目清单!$B$1:$G$1,0)))</f>
        <v/>
      </c>
      <c r="K13" s="34" t="str">
        <f>IF($G13="","",INDEX(项目清单!$B:$G,MATCH(回访登记表!$G13,项目清单!$B:$B,0),MATCH(回访登记表!K$3,项目清单!$B$1:$G$1,0)))</f>
        <v/>
      </c>
      <c r="L13" s="34" t="str">
        <f>IF($G13="","",INDEX(项目清单!$B:$G,MATCH(回访登记表!$G13,项目清单!$B:$B,0),MATCH(回访登记表!L$3,项目清单!$B$1:$G$1,0)))</f>
        <v/>
      </c>
      <c r="M13" s="47" t="str">
        <f>IF($G13="","",INDEX(项目清单!$B:$G,MATCH(回访登记表!$G13,项目清单!$B:$B,0),MATCH(回访登记表!M$3,项目清单!$B$1:$G$1,0)))</f>
        <v/>
      </c>
    </row>
    <row r="14" spans="2:13" ht="24.95" customHeight="1">
      <c r="B14" s="29"/>
      <c r="C14" s="27"/>
      <c r="D14" s="62"/>
      <c r="E14" s="63"/>
      <c r="G14"/>
    </row>
    <row r="15" spans="2:13" s="2" customFormat="1" ht="24.95" customHeight="1">
      <c r="B15" s="29"/>
      <c r="C15" s="27"/>
      <c r="D15" s="62"/>
      <c r="E15" s="63"/>
      <c r="G15" s="5" t="s">
        <v>21</v>
      </c>
      <c r="H15" s="3"/>
      <c r="I15" s="4"/>
      <c r="J15" s="4"/>
      <c r="K15" s="13"/>
      <c r="L15" s="13"/>
      <c r="M15" s="13"/>
    </row>
    <row r="16" spans="2:13" ht="24.95" customHeight="1">
      <c r="B16" s="29"/>
      <c r="C16" s="27"/>
      <c r="D16" s="62"/>
      <c r="E16" s="63"/>
      <c r="G16" s="8" t="s">
        <v>24</v>
      </c>
      <c r="H16" s="52" t="s">
        <v>10</v>
      </c>
      <c r="I16" s="53"/>
      <c r="J16" s="54"/>
      <c r="K16" s="13"/>
      <c r="L16" s="13"/>
      <c r="M16" s="13"/>
    </row>
    <row r="17" spans="2:13" ht="21" customHeight="1">
      <c r="G17" s="12">
        <f>IF(COUNTIF(交付清单!D:D,回访登记表!$I$2)&gt;=ROW()-16,ROW()-16,"")</f>
        <v>1</v>
      </c>
      <c r="H17" s="49" t="str">
        <f>IF(G17="","",VLOOKUP($I$2&amp;G17,交付清单!C:E,3,FALSE))</f>
        <v>国泰安商业银行立体教学平台软件</v>
      </c>
      <c r="I17" s="49"/>
      <c r="J17" s="49"/>
      <c r="K17" s="13"/>
      <c r="L17" s="13"/>
      <c r="M17" s="13"/>
    </row>
    <row r="18" spans="2:13" ht="21" customHeight="1">
      <c r="G18" s="12">
        <f>IF(COUNTIF(交付清单!D:D,回访登记表!$I$2)&gt;=ROW()-16,ROW()-16,"")</f>
        <v>2</v>
      </c>
      <c r="H18" s="49" t="str">
        <f>IF(G18="","",VLOOKUP($I$2&amp;G18,交付清单!C:E,3,FALSE))</f>
        <v>国泰安CSMAR数据库查询软件</v>
      </c>
      <c r="I18" s="49"/>
      <c r="J18" s="49"/>
      <c r="K18" s="13"/>
      <c r="L18" s="13"/>
      <c r="M18" s="13"/>
    </row>
    <row r="19" spans="2:13" ht="21" customHeight="1">
      <c r="B19" s="48" t="s">
        <v>27</v>
      </c>
      <c r="C19" s="48"/>
      <c r="D19" s="48"/>
      <c r="E19" s="48"/>
      <c r="G19" s="12">
        <f>IF(COUNTIF(交付清单!D:D,回访登记表!$I$2)&gt;=ROW()-16,ROW()-16,"")</f>
        <v>3</v>
      </c>
      <c r="H19" s="49" t="str">
        <f>IF(G19="","",VLOOKUP($I$2&amp;G19,交付清单!C:E,3,FALSE))</f>
        <v>国泰安虚拟交易所系统</v>
      </c>
      <c r="I19" s="49"/>
      <c r="J19" s="49"/>
      <c r="K19" s="13"/>
      <c r="L19" s="13"/>
      <c r="M19" s="13"/>
    </row>
    <row r="20" spans="2:13" ht="21" customHeight="1">
      <c r="B20" s="48"/>
      <c r="C20" s="48"/>
      <c r="D20" s="48"/>
      <c r="E20" s="48"/>
      <c r="G20" s="12" t="str">
        <f>IF(COUNTIF(交付清单!D:D,回访登记表!$I$2)&gt;=ROW()-16,ROW()-16,"")</f>
        <v/>
      </c>
      <c r="H20" s="49" t="str">
        <f>IF(G20="","",VLOOKUP($I$2&amp;G20,交付清单!C:E,3,FALSE))</f>
        <v/>
      </c>
      <c r="I20" s="49"/>
      <c r="J20" s="49"/>
      <c r="K20" s="13"/>
      <c r="L20" s="13"/>
      <c r="M20" s="13"/>
    </row>
    <row r="21" spans="2:13" ht="21" customHeight="1">
      <c r="B21" s="48"/>
      <c r="C21" s="48"/>
      <c r="D21" s="48"/>
      <c r="E21" s="48"/>
      <c r="G21" s="12" t="str">
        <f>IF(COUNTIF(交付清单!D:D,回访登记表!$I$2)&gt;=ROW()-16,ROW()-16,"")</f>
        <v/>
      </c>
      <c r="H21" s="49" t="str">
        <f>IF(G21="","",VLOOKUP($I$2&amp;G21,交付清单!C:E,3,FALSE))</f>
        <v/>
      </c>
      <c r="I21" s="49"/>
      <c r="J21" s="49"/>
      <c r="K21" s="13"/>
      <c r="L21" s="13"/>
      <c r="M21" s="13"/>
    </row>
    <row r="22" spans="2:13" ht="21" customHeight="1">
      <c r="B22" s="48"/>
      <c r="C22" s="48"/>
      <c r="D22" s="48"/>
      <c r="E22" s="48"/>
      <c r="G22" s="12" t="str">
        <f>IF(COUNTIF(交付清单!D:D,回访登记表!$I$2)&gt;=ROW()-16,ROW()-16,"")</f>
        <v/>
      </c>
      <c r="H22" s="49" t="str">
        <f>IF(G22="","",VLOOKUP($I$2&amp;G22,交付清单!C:E,3,FALSE))</f>
        <v/>
      </c>
      <c r="I22" s="49"/>
      <c r="J22" s="49"/>
      <c r="K22" s="13"/>
      <c r="L22" s="13"/>
      <c r="M22" s="13"/>
    </row>
    <row r="23" spans="2:13" ht="21" customHeight="1">
      <c r="G23" s="12" t="str">
        <f>IF(COUNTIF(交付清单!D:D,回访登记表!$I$2)&gt;=ROW()-16,ROW()-16,"")</f>
        <v/>
      </c>
      <c r="H23" s="49" t="str">
        <f>IF(G23="","",VLOOKUP($I$2&amp;G23,交付清单!C:E,3,FALSE))</f>
        <v/>
      </c>
      <c r="I23" s="49"/>
      <c r="J23" s="49"/>
      <c r="K23" s="13"/>
      <c r="L23" s="13"/>
      <c r="M23" s="13"/>
    </row>
    <row r="24" spans="2:13" ht="21" customHeight="1">
      <c r="G24" s="12" t="str">
        <f>IF(COUNTIF(交付清单!D:D,回访登记表!$I$2)&gt;=ROW()-16,ROW()-16,"")</f>
        <v/>
      </c>
      <c r="H24" s="49" t="str">
        <f>IF(G24="","",VLOOKUP($I$2&amp;G24,交付清单!C:E,3,FALSE))</f>
        <v/>
      </c>
      <c r="I24" s="49"/>
      <c r="J24" s="49"/>
      <c r="K24" s="13"/>
      <c r="L24" s="13"/>
      <c r="M24" s="13"/>
    </row>
    <row r="25" spans="2:13" ht="21" customHeight="1">
      <c r="G25" s="12" t="str">
        <f>IF(COUNTIF(交付清单!D:D,回访登记表!$I$2)&gt;=ROW()-16,ROW()-16,"")</f>
        <v/>
      </c>
      <c r="H25" s="49" t="str">
        <f>IF(G25="","",VLOOKUP($I$2&amp;G25,交付清单!C:E,3,FALSE))</f>
        <v/>
      </c>
      <c r="I25" s="49"/>
      <c r="J25" s="49"/>
      <c r="K25" s="13"/>
      <c r="L25" s="13"/>
      <c r="M25" s="13"/>
    </row>
    <row r="26" spans="2:13" ht="21" customHeight="1">
      <c r="G26" s="12" t="str">
        <f>IF(COUNTIF(交付清单!D:D,回访登记表!$I$2)&gt;=ROW()-16,ROW()-16,"")</f>
        <v/>
      </c>
      <c r="H26" s="49" t="str">
        <f>IF(G26="","",VLOOKUP($I$2&amp;G26,交付清单!C:E,3,FALSE))</f>
        <v/>
      </c>
      <c r="I26" s="49"/>
      <c r="J26" s="49"/>
      <c r="K26" s="13"/>
      <c r="L26" s="13"/>
      <c r="M26" s="13"/>
    </row>
    <row r="27" spans="2:13" ht="21" customHeight="1">
      <c r="G27" s="12" t="str">
        <f>IF(COUNTIF(交付清单!D:D,回访登记表!$I$2)&gt;=ROW()-16,ROW()-16,"")</f>
        <v/>
      </c>
      <c r="H27" s="49" t="str">
        <f>IF(G27="","",VLOOKUP($I$2&amp;G27,交付清单!C:E,3,FALSE))</f>
        <v/>
      </c>
      <c r="I27" s="49"/>
      <c r="J27" s="49"/>
      <c r="K27" s="13"/>
      <c r="L27" s="13"/>
      <c r="M27" s="13"/>
    </row>
    <row r="28" spans="2:13" ht="21" customHeight="1">
      <c r="G28" s="12" t="str">
        <f>IF(COUNTIF(交付清单!D:D,回访登记表!$I$2)&gt;=ROW()-16,ROW()-16,"")</f>
        <v/>
      </c>
      <c r="H28" s="49" t="str">
        <f>IF(G28="","",VLOOKUP($I$2&amp;G28,交付清单!C:E,3,FALSE))</f>
        <v/>
      </c>
      <c r="I28" s="49"/>
      <c r="J28" s="49"/>
    </row>
    <row r="29" spans="2:13" ht="21" customHeight="1">
      <c r="G29" s="12" t="str">
        <f>IF(COUNTIF(交付清单!D:D,回访登记表!$I$2)&gt;=ROW()-16,ROW()-16,"")</f>
        <v/>
      </c>
      <c r="H29" s="49" t="str">
        <f>IF(G29="","",VLOOKUP($I$2&amp;G29,交付清单!C:E,3,FALSE))</f>
        <v/>
      </c>
      <c r="I29" s="49"/>
      <c r="J29" s="49"/>
    </row>
    <row r="30" spans="2:13" ht="21" customHeight="1">
      <c r="G30" s="12" t="str">
        <f>IF(COUNTIF(交付清单!D:D,回访登记表!$I$2)&gt;=ROW()-16,ROW()-16,"")</f>
        <v/>
      </c>
      <c r="H30" s="49" t="str">
        <f>IF(G30="","",VLOOKUP($I$2&amp;G30,交付清单!C:E,3,FALSE))</f>
        <v/>
      </c>
      <c r="I30" s="49"/>
      <c r="J30" s="49"/>
    </row>
    <row r="31" spans="2:13" ht="21" customHeight="1">
      <c r="G31" s="12" t="str">
        <f>IF(COUNTIF(交付清单!D:D,回访登记表!$I$2)&gt;=ROW()-16,ROW()-16,"")</f>
        <v/>
      </c>
      <c r="H31" s="49" t="str">
        <f>IF(G31="","",VLOOKUP($I$2&amp;G31,交付清单!C:E,3,FALSE))</f>
        <v/>
      </c>
      <c r="I31" s="49"/>
      <c r="J31" s="49"/>
    </row>
    <row r="32" spans="2:13" ht="21" customHeight="1">
      <c r="G32" s="12" t="str">
        <f>IF(COUNTIF(交付清单!D:D,回访登记表!$I$2)&gt;=ROW()-16,ROW()-16,"")</f>
        <v/>
      </c>
      <c r="H32" s="49" t="str">
        <f>IF(G32="","",VLOOKUP($I$2&amp;G32,交付清单!C:E,3,FALSE))</f>
        <v/>
      </c>
      <c r="I32" s="49"/>
      <c r="J32" s="49"/>
    </row>
    <row r="33" spans="7:10" ht="21" customHeight="1">
      <c r="G33" s="12" t="str">
        <f>IF(COUNTIF(交付清单!D:D,回访登记表!$I$2)&gt;=ROW()-16,ROW()-16,"")</f>
        <v/>
      </c>
      <c r="H33" s="49" t="str">
        <f>IF(G33="","",VLOOKUP($I$2&amp;G33,交付清单!C:E,3,FALSE))</f>
        <v/>
      </c>
      <c r="I33" s="49"/>
      <c r="J33" s="49"/>
    </row>
    <row r="34" spans="7:10" ht="21" customHeight="1">
      <c r="G34" s="12" t="str">
        <f>IF(COUNTIF(交付清单!D:D,回访登记表!$I$2)&gt;=ROW()-16,ROW()-16,"")</f>
        <v/>
      </c>
      <c r="H34" s="49" t="str">
        <f>IF(G34="","",VLOOKUP($I$2&amp;G34,交付清单!C:E,3,FALSE))</f>
        <v/>
      </c>
      <c r="I34" s="49"/>
      <c r="J34" s="49"/>
    </row>
    <row r="35" spans="7:10" ht="21" customHeight="1">
      <c r="G35" s="12" t="str">
        <f>IF(COUNTIF(交付清单!D:D,回访登记表!$I$2)&gt;=ROW()-16,ROW()-16,"")</f>
        <v/>
      </c>
      <c r="H35" s="49" t="str">
        <f>IF(G35="","",VLOOKUP($I$2&amp;G35,交付清单!C:E,3,FALSE))</f>
        <v/>
      </c>
      <c r="I35" s="49"/>
      <c r="J35" s="49"/>
    </row>
  </sheetData>
  <mergeCells count="42">
    <mergeCell ref="H35:J35"/>
    <mergeCell ref="H30:J30"/>
    <mergeCell ref="H31:J31"/>
    <mergeCell ref="H32:J32"/>
    <mergeCell ref="H33:J33"/>
    <mergeCell ref="H34:J34"/>
    <mergeCell ref="D13:E13"/>
    <mergeCell ref="D12:E12"/>
    <mergeCell ref="D14:E14"/>
    <mergeCell ref="D15:E15"/>
    <mergeCell ref="D16:E16"/>
    <mergeCell ref="C3:E3"/>
    <mergeCell ref="D8:E8"/>
    <mergeCell ref="D9:E9"/>
    <mergeCell ref="D10:E10"/>
    <mergeCell ref="D11:E11"/>
    <mergeCell ref="G3:H3"/>
    <mergeCell ref="G4:H4"/>
    <mergeCell ref="G5:H5"/>
    <mergeCell ref="G6:H6"/>
    <mergeCell ref="G7:H7"/>
    <mergeCell ref="H29:J29"/>
    <mergeCell ref="G8:H8"/>
    <mergeCell ref="G9:H9"/>
    <mergeCell ref="G10:H10"/>
    <mergeCell ref="G11:H11"/>
    <mergeCell ref="G12:H12"/>
    <mergeCell ref="G13:H13"/>
    <mergeCell ref="H16:J16"/>
    <mergeCell ref="H17:J17"/>
    <mergeCell ref="H18:J18"/>
    <mergeCell ref="H19:J19"/>
    <mergeCell ref="H20:J20"/>
    <mergeCell ref="H21:J21"/>
    <mergeCell ref="H22:J22"/>
    <mergeCell ref="H23:J23"/>
    <mergeCell ref="H24:J24"/>
    <mergeCell ref="B19:E22"/>
    <mergeCell ref="H25:J25"/>
    <mergeCell ref="H26:J26"/>
    <mergeCell ref="H27:J27"/>
    <mergeCell ref="H28:J28"/>
  </mergeCells>
  <phoneticPr fontId="1" type="noConversion"/>
  <dataValidations count="1">
    <dataValidation type="list" allowBlank="1" showInputMessage="1" showErrorMessage="1" sqref="C9:C16">
      <formula1>$G$4:$G$13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OFFSET(产品清单!$B$2,,,COUNTA(产品清单!$B:$B))</xm:f>
          </x14:formula1>
          <xm:sqref>C3:E3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1"/>
  <sheetViews>
    <sheetView workbookViewId="0">
      <selection activeCell="G8" sqref="G8"/>
    </sheetView>
  </sheetViews>
  <sheetFormatPr defaultRowHeight="13.5"/>
  <cols>
    <col min="1" max="1" width="17.5" style="41" bestFit="1" customWidth="1"/>
    <col min="2" max="2" width="26.5" style="26" customWidth="1"/>
    <col min="3" max="3" width="12.25" style="45" bestFit="1" customWidth="1"/>
    <col min="4" max="4" width="11.125" style="41" customWidth="1"/>
    <col min="5" max="5" width="13.25" customWidth="1"/>
    <col min="6" max="6" width="13.5" style="41" customWidth="1"/>
    <col min="7" max="7" width="12.25" style="45" customWidth="1"/>
  </cols>
  <sheetData>
    <row r="1" spans="1:7" s="38" customFormat="1">
      <c r="A1" s="37" t="s">
        <v>16</v>
      </c>
      <c r="B1" s="42" t="s">
        <v>11</v>
      </c>
      <c r="C1" s="43" t="s">
        <v>12</v>
      </c>
      <c r="D1" s="37" t="s">
        <v>13</v>
      </c>
      <c r="E1" s="37" t="s">
        <v>14</v>
      </c>
      <c r="F1" s="37" t="s">
        <v>15</v>
      </c>
      <c r="G1" s="43" t="s">
        <v>20</v>
      </c>
    </row>
    <row r="2" spans="1:7" ht="14.25">
      <c r="A2" s="39" t="s">
        <v>36</v>
      </c>
      <c r="B2" s="21" t="s">
        <v>35</v>
      </c>
      <c r="C2" s="44">
        <v>42746</v>
      </c>
      <c r="D2" s="39" t="s">
        <v>41</v>
      </c>
      <c r="E2" s="36" t="s">
        <v>66</v>
      </c>
      <c r="F2" s="39" t="s">
        <v>42</v>
      </c>
      <c r="G2" s="46">
        <v>42838</v>
      </c>
    </row>
    <row r="3" spans="1:7" ht="28.5">
      <c r="A3" s="18" t="s">
        <v>37</v>
      </c>
      <c r="B3" s="22" t="s">
        <v>38</v>
      </c>
      <c r="C3" s="44">
        <v>42775</v>
      </c>
      <c r="D3" s="39" t="s">
        <v>43</v>
      </c>
      <c r="E3" s="36" t="s">
        <v>67</v>
      </c>
      <c r="F3" s="39" t="s">
        <v>44</v>
      </c>
      <c r="G3" s="46">
        <v>42826</v>
      </c>
    </row>
    <row r="4" spans="1:7" ht="14.25">
      <c r="A4" s="18" t="s">
        <v>39</v>
      </c>
      <c r="B4" s="22" t="s">
        <v>40</v>
      </c>
      <c r="C4" s="44">
        <v>42863</v>
      </c>
      <c r="D4" s="39" t="s">
        <v>45</v>
      </c>
      <c r="E4" s="36" t="s">
        <v>68</v>
      </c>
      <c r="F4" s="39" t="s">
        <v>46</v>
      </c>
      <c r="G4" s="44"/>
    </row>
    <row r="5" spans="1:7">
      <c r="A5" s="40"/>
      <c r="B5" s="25"/>
      <c r="C5" s="44"/>
      <c r="D5" s="40"/>
      <c r="E5" s="9"/>
      <c r="F5" s="40"/>
      <c r="G5" s="44"/>
    </row>
    <row r="6" spans="1:7">
      <c r="A6" s="40"/>
      <c r="B6" s="25"/>
      <c r="C6" s="44"/>
      <c r="D6" s="40"/>
      <c r="E6" s="9"/>
      <c r="F6" s="40"/>
      <c r="G6" s="44"/>
    </row>
    <row r="7" spans="1:7">
      <c r="A7" s="40"/>
      <c r="B7" s="25"/>
      <c r="C7" s="44"/>
      <c r="D7" s="40"/>
      <c r="E7" s="9"/>
      <c r="F7" s="40"/>
      <c r="G7" s="44"/>
    </row>
    <row r="8" spans="1:7">
      <c r="A8" s="40"/>
      <c r="B8" s="25"/>
      <c r="C8" s="44"/>
      <c r="D8" s="40"/>
      <c r="E8" s="9"/>
      <c r="F8" s="40"/>
      <c r="G8" s="44"/>
    </row>
    <row r="9" spans="1:7">
      <c r="A9" s="40"/>
      <c r="B9" s="25"/>
      <c r="C9" s="44"/>
      <c r="D9" s="40"/>
      <c r="E9" s="9"/>
      <c r="F9" s="40"/>
      <c r="G9" s="44"/>
    </row>
    <row r="10" spans="1:7">
      <c r="A10" s="40"/>
      <c r="B10" s="25"/>
      <c r="C10" s="44"/>
      <c r="D10" s="40"/>
      <c r="E10" s="9"/>
      <c r="F10" s="40"/>
      <c r="G10" s="44"/>
    </row>
    <row r="11" spans="1:7">
      <c r="A11" s="40"/>
      <c r="B11" s="25"/>
      <c r="C11" s="44"/>
      <c r="D11" s="40"/>
      <c r="E11" s="9"/>
      <c r="F11" s="40"/>
      <c r="G11" s="44"/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55"/>
  <sheetViews>
    <sheetView workbookViewId="0">
      <selection activeCell="E11" activeCellId="2" sqref="E2 E7 E11"/>
    </sheetView>
  </sheetViews>
  <sheetFormatPr defaultRowHeight="13.5"/>
  <cols>
    <col min="1" max="1" width="17.5" style="26" bestFit="1" customWidth="1"/>
    <col min="2" max="2" width="42.125" style="2" hidden="1" customWidth="1"/>
    <col min="3" max="3" width="61" hidden="1" customWidth="1"/>
    <col min="4" max="4" width="44.125" customWidth="1"/>
    <col min="5" max="5" width="34" bestFit="1" customWidth="1"/>
    <col min="6" max="6" width="11" bestFit="1" customWidth="1"/>
  </cols>
  <sheetData>
    <row r="1" spans="1:6">
      <c r="A1" s="23" t="s">
        <v>17</v>
      </c>
      <c r="B1" s="7" t="s">
        <v>25</v>
      </c>
      <c r="C1" s="7" t="s">
        <v>26</v>
      </c>
      <c r="D1" s="15" t="s">
        <v>18</v>
      </c>
      <c r="E1" s="15" t="s">
        <v>19</v>
      </c>
      <c r="F1" s="19" t="s">
        <v>33</v>
      </c>
    </row>
    <row r="2" spans="1:6" ht="14.25">
      <c r="A2" s="21" t="s">
        <v>36</v>
      </c>
      <c r="B2" s="20" t="str">
        <f>E2&amp;COUNTIF($E$2:E2,E2)</f>
        <v>国泰安商业银行立体教学平台软件1</v>
      </c>
      <c r="C2" s="20" t="str">
        <f>D2&amp;COUNTIF($D$2:D2,D2)</f>
        <v>山东亿维系统集成股份有限公司（济宁学院）-金融实验室1</v>
      </c>
      <c r="D2" s="21" t="s">
        <v>35</v>
      </c>
      <c r="E2" s="20" t="s">
        <v>34</v>
      </c>
      <c r="F2" s="20">
        <v>13</v>
      </c>
    </row>
    <row r="3" spans="1:6" ht="14.25">
      <c r="A3" s="21" t="s">
        <v>51</v>
      </c>
      <c r="B3" s="20" t="str">
        <f>E3&amp;COUNTIF($E$2:E3,E3)</f>
        <v>国泰安CSMAR数据库查询软件1</v>
      </c>
      <c r="C3" s="20" t="str">
        <f>D3&amp;COUNTIF($D$2:D3,D3)</f>
        <v>山东亿维系统集成股份有限公司（济宁学院）-金融实验室2</v>
      </c>
      <c r="D3" s="21" t="s">
        <v>35</v>
      </c>
      <c r="E3" s="17" t="s">
        <v>53</v>
      </c>
      <c r="F3" s="20">
        <v>25</v>
      </c>
    </row>
    <row r="4" spans="1:6" ht="14.25">
      <c r="A4" s="21" t="s">
        <v>52</v>
      </c>
      <c r="B4" s="20" t="str">
        <f>E4&amp;COUNTIF($E$2:E4,E4)</f>
        <v>国泰安虚拟交易所系统1</v>
      </c>
      <c r="C4" s="20" t="str">
        <f>D4&amp;COUNTIF($D$2:D4,D4)</f>
        <v>山东亿维系统集成股份有限公司（济宁学院）-金融实验室3</v>
      </c>
      <c r="D4" s="21" t="s">
        <v>35</v>
      </c>
      <c r="E4" s="17" t="s">
        <v>54</v>
      </c>
      <c r="F4" s="20">
        <v>12</v>
      </c>
    </row>
    <row r="5" spans="1:6" ht="14.25">
      <c r="A5" s="22" t="s">
        <v>37</v>
      </c>
      <c r="B5" s="20" t="str">
        <f>E5&amp;COUNTIF($E$2:E5,E5)</f>
        <v>国泰安金融理财规划业务教学系统软件1</v>
      </c>
      <c r="C5" s="20" t="str">
        <f>D5&amp;COUNTIF($D$2:D5,D5)</f>
        <v>北京聚源锐思数据科技有限公司（广州大学）-金融统计软件项目1</v>
      </c>
      <c r="D5" s="22" t="s">
        <v>38</v>
      </c>
      <c r="E5" s="17" t="s">
        <v>55</v>
      </c>
      <c r="F5" s="20">
        <v>20</v>
      </c>
    </row>
    <row r="6" spans="1:6" ht="14.25">
      <c r="A6" s="22" t="s">
        <v>57</v>
      </c>
      <c r="B6" s="20" t="str">
        <f>E6&amp;COUNTIF($E$2:E6,E6)</f>
        <v>国泰安期货投资分析教学系统软件1</v>
      </c>
      <c r="C6" s="20" t="str">
        <f>D6&amp;COUNTIF($D$2:D6,D6)</f>
        <v>北京聚源锐思数据科技有限公司（广州大学）-金融统计软件项目2</v>
      </c>
      <c r="D6" s="22" t="s">
        <v>38</v>
      </c>
      <c r="E6" s="17" t="s">
        <v>56</v>
      </c>
      <c r="F6" s="20">
        <v>24.22</v>
      </c>
    </row>
    <row r="7" spans="1:6" ht="14.25">
      <c r="A7" s="22" t="s">
        <v>58</v>
      </c>
      <c r="B7" s="20" t="str">
        <f>E7&amp;COUNTIF($E$2:E7,E7)</f>
        <v>国泰安商业银行立体教学平台软件2</v>
      </c>
      <c r="C7" s="20" t="str">
        <f>D7&amp;COUNTIF($D$2:D7,D7)</f>
        <v>北京聚源锐思数据科技有限公司（广州大学）-金融统计软件项目3</v>
      </c>
      <c r="D7" s="22" t="s">
        <v>38</v>
      </c>
      <c r="E7" s="17" t="s">
        <v>34</v>
      </c>
      <c r="F7" s="20">
        <v>20</v>
      </c>
    </row>
    <row r="8" spans="1:6" ht="14.25">
      <c r="A8" s="22" t="s">
        <v>39</v>
      </c>
      <c r="B8" s="20" t="str">
        <f>E8&amp;COUNTIF($E$2:E8,E8)</f>
        <v>ERP for SCHOOL新道教学系统（代理产品）1</v>
      </c>
      <c r="C8" s="20" t="str">
        <f>D8&amp;COUNTIF($D$2:D8,D8)</f>
        <v>湖南科技学院-金融实验室1</v>
      </c>
      <c r="D8" s="22" t="s">
        <v>40</v>
      </c>
      <c r="E8" s="17" t="s">
        <v>64</v>
      </c>
      <c r="F8" s="20">
        <v>9.1999999999999993</v>
      </c>
    </row>
    <row r="9" spans="1:6" ht="14.25">
      <c r="A9" s="22" t="s">
        <v>60</v>
      </c>
      <c r="B9" s="20" t="str">
        <f>E9&amp;COUNTIF($E$2:E9,E9)</f>
        <v>国泰安经济金融模型实训平台软件1</v>
      </c>
      <c r="C9" s="20" t="str">
        <f>D9&amp;COUNTIF($D$2:D9,D9)</f>
        <v>湖南科技学院-金融实验室2</v>
      </c>
      <c r="D9" s="22" t="s">
        <v>40</v>
      </c>
      <c r="E9" s="17" t="s">
        <v>59</v>
      </c>
      <c r="F9" s="20">
        <v>8.8000000000000007</v>
      </c>
    </row>
    <row r="10" spans="1:6" ht="14.25">
      <c r="A10" s="22" t="s">
        <v>61</v>
      </c>
      <c r="B10" s="20" t="str">
        <f>E10&amp;COUNTIF($E$2:E10,E10)</f>
        <v>国泰安虚拟交易所系统2</v>
      </c>
      <c r="C10" s="20" t="str">
        <f>D10&amp;COUNTIF($D$2:D10,D10)</f>
        <v>湖南科技学院-金融实验室3</v>
      </c>
      <c r="D10" s="22" t="s">
        <v>40</v>
      </c>
      <c r="E10" s="17" t="s">
        <v>54</v>
      </c>
      <c r="F10" s="20">
        <v>7.8</v>
      </c>
    </row>
    <row r="11" spans="1:6" ht="14.25">
      <c r="A11" s="22" t="s">
        <v>62</v>
      </c>
      <c r="B11" s="20" t="str">
        <f>E11&amp;COUNTIF($E$2:E11,E11)</f>
        <v>国泰安商业银行立体教学平台软件3</v>
      </c>
      <c r="C11" s="20" t="str">
        <f>D11&amp;COUNTIF($D$2:D11,D11)</f>
        <v>湖南科技学院-金融实验室4</v>
      </c>
      <c r="D11" s="22" t="s">
        <v>40</v>
      </c>
      <c r="E11" s="17" t="s">
        <v>34</v>
      </c>
      <c r="F11" s="20">
        <v>6</v>
      </c>
    </row>
    <row r="12" spans="1:6" ht="14.25">
      <c r="A12" s="22" t="s">
        <v>63</v>
      </c>
      <c r="B12" s="20" t="str">
        <f>E12&amp;COUNTIF($E$2:E12,E12)</f>
        <v>国泰安市场通标准版软件1</v>
      </c>
      <c r="C12" s="20" t="str">
        <f>D12&amp;COUNTIF($D$2:D12,D12)</f>
        <v>湖南科技学院-金融实验室5</v>
      </c>
      <c r="D12" s="22" t="s">
        <v>40</v>
      </c>
      <c r="E12" s="17" t="s">
        <v>65</v>
      </c>
      <c r="F12" s="20">
        <v>6</v>
      </c>
    </row>
    <row r="13" spans="1:6">
      <c r="A13" s="24"/>
      <c r="B13" s="16" t="str">
        <f>E13&amp;COUNTIF($E$2:E13,E13)</f>
        <v>0</v>
      </c>
      <c r="C13" s="2" t="str">
        <f>D13&amp;COUNTIF($D$2:D13,D13)</f>
        <v>0</v>
      </c>
      <c r="D13" s="16"/>
      <c r="E13" s="16"/>
      <c r="F13" s="1"/>
    </row>
    <row r="14" spans="1:6">
      <c r="A14" s="25"/>
      <c r="B14" s="1" t="str">
        <f>E14&amp;COUNTIF($E$2:E14,E14)</f>
        <v>0</v>
      </c>
      <c r="C14" s="2" t="str">
        <f>D14&amp;COUNTIF($D$2:D14,D14)</f>
        <v>0</v>
      </c>
      <c r="D14" s="1"/>
      <c r="E14" s="1"/>
      <c r="F14" s="1"/>
    </row>
    <row r="15" spans="1:6">
      <c r="A15" s="25"/>
      <c r="B15" s="1" t="str">
        <f>E15&amp;COUNTIF($E$2:E15,E15)</f>
        <v>0</v>
      </c>
      <c r="C15" s="2" t="str">
        <f>D15&amp;COUNTIF($D$2:D15,D15)</f>
        <v>0</v>
      </c>
      <c r="D15" s="1"/>
      <c r="E15" s="1"/>
      <c r="F15" s="1"/>
    </row>
    <row r="16" spans="1:6">
      <c r="A16" s="25"/>
      <c r="B16" s="1" t="str">
        <f>E16&amp;COUNTIF($E$2:E16,E16)</f>
        <v>0</v>
      </c>
      <c r="C16" s="2" t="str">
        <f>D16&amp;COUNTIF($D$2:D16,D16)</f>
        <v>0</v>
      </c>
      <c r="D16" s="1"/>
      <c r="E16" s="1"/>
      <c r="F16" s="1"/>
    </row>
    <row r="17" spans="1:6">
      <c r="A17" s="25"/>
      <c r="B17" s="1" t="str">
        <f>E17&amp;COUNTIF($E$2:E17,E17)</f>
        <v>0</v>
      </c>
      <c r="C17" s="2" t="str">
        <f>D17&amp;COUNTIF($D$2:D17,D17)</f>
        <v>0</v>
      </c>
      <c r="D17" s="1"/>
      <c r="E17" s="1"/>
      <c r="F17" s="1"/>
    </row>
    <row r="18" spans="1:6">
      <c r="A18" s="25"/>
      <c r="B18" s="1" t="str">
        <f>E18&amp;COUNTIF($E$2:E18,E18)</f>
        <v>0</v>
      </c>
      <c r="C18" s="2" t="str">
        <f>D18&amp;COUNTIF($D$2:D18,D18)</f>
        <v>0</v>
      </c>
      <c r="D18" s="1"/>
      <c r="E18" s="1"/>
      <c r="F18" s="1"/>
    </row>
    <row r="19" spans="1:6">
      <c r="A19" s="25"/>
      <c r="B19" s="1" t="str">
        <f>E19&amp;COUNTIF($E$2:E19,E19)</f>
        <v>0</v>
      </c>
      <c r="C19" s="2" t="str">
        <f>D19&amp;COUNTIF($D$2:D19,D19)</f>
        <v>0</v>
      </c>
      <c r="D19" s="1"/>
      <c r="E19" s="1"/>
      <c r="F19" s="1"/>
    </row>
    <row r="20" spans="1:6">
      <c r="A20" s="25"/>
      <c r="B20" s="1" t="str">
        <f>E20&amp;COUNTIF($E$2:E20,E20)</f>
        <v>0</v>
      </c>
      <c r="C20" s="2" t="str">
        <f>D20&amp;COUNTIF($D$2:D20,D20)</f>
        <v>0</v>
      </c>
      <c r="D20" s="1"/>
      <c r="E20" s="1"/>
      <c r="F20" s="1"/>
    </row>
    <row r="21" spans="1:6">
      <c r="A21" s="25"/>
      <c r="B21" s="1" t="str">
        <f>E21&amp;COUNTIF($E$2:E21,E21)</f>
        <v>0</v>
      </c>
      <c r="C21" s="2" t="str">
        <f>D21&amp;COUNTIF($D$2:D21,D21)</f>
        <v>0</v>
      </c>
      <c r="D21" s="1"/>
      <c r="E21" s="1"/>
      <c r="F21" s="1"/>
    </row>
    <row r="22" spans="1:6">
      <c r="A22" s="25"/>
      <c r="B22" s="1" t="str">
        <f>E22&amp;COUNTIF($E$2:E22,E22)</f>
        <v>0</v>
      </c>
      <c r="C22" s="2" t="str">
        <f>D22&amp;COUNTIF($D$2:D22,D22)</f>
        <v>0</v>
      </c>
      <c r="D22" s="1"/>
      <c r="E22" s="1"/>
      <c r="F22" s="1"/>
    </row>
    <row r="23" spans="1:6">
      <c r="A23" s="25"/>
      <c r="B23" s="1" t="str">
        <f>E23&amp;COUNTIF($E$2:E23,E23)</f>
        <v>0</v>
      </c>
      <c r="C23" s="2" t="str">
        <f>D23&amp;COUNTIF($D$2:D23,D23)</f>
        <v>0</v>
      </c>
      <c r="D23" s="1"/>
      <c r="E23" s="1"/>
      <c r="F23" s="1"/>
    </row>
    <row r="24" spans="1:6">
      <c r="A24" s="25"/>
      <c r="B24" s="1" t="str">
        <f>E24&amp;COUNTIF($E$2:E24,E24)</f>
        <v>0</v>
      </c>
      <c r="C24" s="2" t="str">
        <f>D24&amp;COUNTIF($D$2:D24,D24)</f>
        <v>0</v>
      </c>
      <c r="D24" s="1"/>
      <c r="E24" s="1"/>
      <c r="F24" s="1"/>
    </row>
    <row r="25" spans="1:6">
      <c r="A25" s="25"/>
      <c r="B25" s="1" t="str">
        <f>E25&amp;COUNTIF($E$2:E25,E25)</f>
        <v>0</v>
      </c>
      <c r="C25" s="2" t="str">
        <f>D25&amp;COUNTIF($D$2:D25,D25)</f>
        <v>0</v>
      </c>
      <c r="D25" s="1"/>
      <c r="E25" s="1"/>
      <c r="F25" s="1"/>
    </row>
    <row r="26" spans="1:6">
      <c r="A26" s="25"/>
      <c r="B26" s="1" t="str">
        <f>E26&amp;COUNTIF($E$2:E26,E26)</f>
        <v>0</v>
      </c>
      <c r="C26" s="2" t="str">
        <f>D26&amp;COUNTIF($D$2:D26,D26)</f>
        <v>0</v>
      </c>
      <c r="D26" s="1"/>
      <c r="E26" s="1"/>
      <c r="F26" s="1"/>
    </row>
    <row r="27" spans="1:6">
      <c r="A27" s="25"/>
      <c r="B27" s="1" t="str">
        <f>E27&amp;COUNTIF($E$2:E27,E27)</f>
        <v>0</v>
      </c>
      <c r="C27" s="2" t="str">
        <f>D27&amp;COUNTIF($D$2:D27,D27)</f>
        <v>0</v>
      </c>
      <c r="D27" s="1"/>
      <c r="E27" s="1"/>
      <c r="F27" s="1"/>
    </row>
    <row r="28" spans="1:6">
      <c r="A28" s="25"/>
      <c r="B28" s="1" t="str">
        <f>E28&amp;COUNTIF($E$2:E28,E28)</f>
        <v>0</v>
      </c>
      <c r="C28" s="2" t="str">
        <f>D28&amp;COUNTIF($D$2:D28,D28)</f>
        <v>0</v>
      </c>
      <c r="D28" s="1"/>
      <c r="E28" s="1"/>
      <c r="F28" s="1"/>
    </row>
    <row r="29" spans="1:6">
      <c r="A29" s="25"/>
      <c r="B29" s="1" t="str">
        <f>E29&amp;COUNTIF($E$2:E29,E29)</f>
        <v>0</v>
      </c>
      <c r="C29" s="2" t="str">
        <f>D29&amp;COUNTIF($D$2:D29,D29)</f>
        <v>0</v>
      </c>
      <c r="D29" s="1"/>
      <c r="E29" s="1"/>
      <c r="F29" s="1"/>
    </row>
    <row r="30" spans="1:6">
      <c r="A30" s="25"/>
      <c r="B30" s="1" t="str">
        <f>E30&amp;COUNTIF($E$2:E30,E30)</f>
        <v>0</v>
      </c>
      <c r="C30" s="2" t="str">
        <f>D30&amp;COUNTIF($D$2:D30,D30)</f>
        <v>0</v>
      </c>
      <c r="D30" s="1"/>
      <c r="E30" s="1"/>
      <c r="F30" s="1"/>
    </row>
    <row r="31" spans="1:6">
      <c r="A31" s="25"/>
      <c r="B31" s="1" t="str">
        <f>E31&amp;COUNTIF($E$2:E31,E31)</f>
        <v>0</v>
      </c>
      <c r="C31" s="2" t="str">
        <f>D31&amp;COUNTIF($D$2:D31,D31)</f>
        <v>0</v>
      </c>
      <c r="D31" s="1"/>
      <c r="E31" s="1"/>
      <c r="F31" s="1"/>
    </row>
    <row r="32" spans="1:6">
      <c r="A32" s="25"/>
      <c r="B32" s="1" t="str">
        <f>E32&amp;COUNTIF($E$2:E32,E32)</f>
        <v>0</v>
      </c>
      <c r="C32" s="2" t="str">
        <f>D32&amp;COUNTIF($D$2:D32,D32)</f>
        <v>0</v>
      </c>
      <c r="D32" s="1"/>
      <c r="E32" s="1"/>
      <c r="F32" s="1"/>
    </row>
    <row r="33" spans="1:6">
      <c r="A33" s="25"/>
      <c r="B33" s="1" t="str">
        <f>E33&amp;COUNTIF($E$2:E33,E33)</f>
        <v>0</v>
      </c>
      <c r="C33" s="2" t="str">
        <f>D33&amp;COUNTIF($D$2:D33,D33)</f>
        <v>0</v>
      </c>
      <c r="D33" s="1"/>
      <c r="E33" s="1"/>
      <c r="F33" s="1"/>
    </row>
    <row r="34" spans="1:6">
      <c r="A34" s="25"/>
      <c r="B34" s="1" t="str">
        <f>E34&amp;COUNTIF($E$2:E34,E34)</f>
        <v>0</v>
      </c>
      <c r="C34" s="2" t="str">
        <f>D34&amp;COUNTIF($D$2:D34,D34)</f>
        <v>0</v>
      </c>
      <c r="D34" s="1"/>
      <c r="E34" s="1"/>
      <c r="F34" s="1"/>
    </row>
    <row r="35" spans="1:6">
      <c r="A35" s="25"/>
      <c r="B35" s="1" t="str">
        <f>E35&amp;COUNTIF($E$2:E35,E35)</f>
        <v>0</v>
      </c>
      <c r="C35" s="2" t="str">
        <f>D35&amp;COUNTIF($D$2:D35,D35)</f>
        <v>0</v>
      </c>
      <c r="D35" s="1"/>
      <c r="E35" s="1"/>
      <c r="F35" s="1"/>
    </row>
    <row r="36" spans="1:6">
      <c r="A36" s="25"/>
      <c r="B36" s="1" t="str">
        <f>E36&amp;COUNTIF($E$2:E36,E36)</f>
        <v>0</v>
      </c>
      <c r="C36" s="2" t="str">
        <f>D36&amp;COUNTIF($D$2:D36,D36)</f>
        <v>0</v>
      </c>
      <c r="D36" s="1"/>
      <c r="E36" s="1"/>
      <c r="F36" s="1"/>
    </row>
    <row r="37" spans="1:6">
      <c r="A37" s="25"/>
      <c r="B37" s="1" t="str">
        <f>E37&amp;COUNTIF($E$2:E37,E37)</f>
        <v>0</v>
      </c>
      <c r="C37" s="2" t="str">
        <f>D37&amp;COUNTIF($D$2:D37,D37)</f>
        <v>0</v>
      </c>
      <c r="D37" s="1"/>
      <c r="E37" s="1"/>
      <c r="F37" s="1"/>
    </row>
    <row r="38" spans="1:6">
      <c r="A38" s="25"/>
      <c r="B38" s="1" t="str">
        <f>E38&amp;COUNTIF($E$2:E38,E38)</f>
        <v>0</v>
      </c>
      <c r="C38" s="2" t="str">
        <f>D38&amp;COUNTIF($D$2:D38,D38)</f>
        <v>0</v>
      </c>
      <c r="D38" s="1"/>
      <c r="E38" s="1"/>
      <c r="F38" s="1"/>
    </row>
    <row r="39" spans="1:6">
      <c r="A39" s="25"/>
      <c r="B39" s="1" t="str">
        <f>E39&amp;COUNTIF($E$2:E39,E39)</f>
        <v>0</v>
      </c>
      <c r="C39" s="2" t="str">
        <f>D39&amp;COUNTIF($D$2:D39,D39)</f>
        <v>0</v>
      </c>
      <c r="D39" s="1"/>
      <c r="E39" s="1"/>
      <c r="F39" s="1"/>
    </row>
    <row r="40" spans="1:6">
      <c r="A40" s="25"/>
      <c r="B40" s="1" t="str">
        <f>E40&amp;COUNTIF($E$2:E40,E40)</f>
        <v>0</v>
      </c>
      <c r="C40" s="2" t="str">
        <f>D40&amp;COUNTIF($D$2:D40,D40)</f>
        <v>0</v>
      </c>
      <c r="D40" s="1"/>
      <c r="E40" s="1"/>
      <c r="F40" s="1"/>
    </row>
    <row r="41" spans="1:6">
      <c r="A41" s="25"/>
      <c r="B41" s="1" t="str">
        <f>E41&amp;COUNTIF($E$2:E41,E41)</f>
        <v>0</v>
      </c>
      <c r="C41" s="2" t="str">
        <f>D41&amp;COUNTIF($D$2:D41,D41)</f>
        <v>0</v>
      </c>
      <c r="D41" s="1"/>
      <c r="E41" s="1"/>
      <c r="F41" s="1"/>
    </row>
    <row r="42" spans="1:6">
      <c r="A42" s="25"/>
      <c r="B42" s="1" t="str">
        <f>E42&amp;COUNTIF($E$2:E42,E42)</f>
        <v>0</v>
      </c>
      <c r="C42" s="2" t="str">
        <f>D42&amp;COUNTIF($D$2:D42,D42)</f>
        <v>0</v>
      </c>
      <c r="D42" s="1"/>
      <c r="E42" s="1"/>
      <c r="F42" s="1"/>
    </row>
    <row r="43" spans="1:6">
      <c r="A43" s="25"/>
      <c r="B43" s="1" t="str">
        <f>E43&amp;COUNTIF($E$2:E43,E43)</f>
        <v>0</v>
      </c>
      <c r="C43" s="2" t="str">
        <f>D43&amp;COUNTIF($D$2:D43,D43)</f>
        <v>0</v>
      </c>
      <c r="D43" s="1"/>
      <c r="E43" s="1"/>
      <c r="F43" s="1"/>
    </row>
    <row r="44" spans="1:6">
      <c r="A44" s="25"/>
      <c r="B44" s="1" t="str">
        <f>E44&amp;COUNTIF($E$2:E44,E44)</f>
        <v>0</v>
      </c>
      <c r="C44" s="2" t="str">
        <f>D44&amp;COUNTIF($D$2:D44,D44)</f>
        <v>0</v>
      </c>
      <c r="D44" s="1"/>
      <c r="E44" s="1"/>
      <c r="F44" s="1"/>
    </row>
    <row r="45" spans="1:6">
      <c r="A45" s="25"/>
      <c r="B45" s="1" t="str">
        <f>E45&amp;COUNTIF($E$2:E45,E45)</f>
        <v>0</v>
      </c>
      <c r="C45" s="2" t="str">
        <f>D45&amp;COUNTIF($D$2:D45,D45)</f>
        <v>0</v>
      </c>
      <c r="D45" s="1"/>
      <c r="E45" s="1"/>
      <c r="F45" s="1"/>
    </row>
    <row r="46" spans="1:6" s="2" customFormat="1">
      <c r="A46" s="25"/>
      <c r="B46" s="1" t="str">
        <f>E46&amp;COUNTIF($E$2:E46,E46)</f>
        <v>0</v>
      </c>
      <c r="C46" s="2" t="str">
        <f>D46&amp;COUNTIF($D$2:D46,D46)</f>
        <v>0</v>
      </c>
      <c r="D46" s="1"/>
      <c r="E46" s="1"/>
      <c r="F46" s="1"/>
    </row>
    <row r="47" spans="1:6">
      <c r="A47" s="25"/>
      <c r="B47" s="1" t="str">
        <f>E47&amp;COUNTIF($E$2:E47,E47)</f>
        <v>0</v>
      </c>
      <c r="C47" s="2" t="str">
        <f>D47&amp;COUNTIF($D$2:D47,D47)</f>
        <v>0</v>
      </c>
      <c r="D47" s="1"/>
      <c r="E47" s="1"/>
      <c r="F47" s="1"/>
    </row>
    <row r="48" spans="1:6">
      <c r="A48" s="25"/>
      <c r="B48" s="1" t="str">
        <f>E48&amp;COUNTIF($E$2:E48,E48)</f>
        <v>0</v>
      </c>
      <c r="C48" s="2" t="str">
        <f>D48&amp;COUNTIF($D$2:D48,D48)</f>
        <v>0</v>
      </c>
      <c r="D48" s="1"/>
      <c r="E48" s="1"/>
      <c r="F48" s="1"/>
    </row>
    <row r="49" spans="1:6">
      <c r="A49" s="25"/>
      <c r="B49" s="1" t="str">
        <f>E49&amp;COUNTIF($E$2:E49,E49)</f>
        <v>0</v>
      </c>
      <c r="C49" s="2" t="str">
        <f>D49&amp;COUNTIF($D$2:D49,D49)</f>
        <v>0</v>
      </c>
      <c r="D49" s="1"/>
      <c r="E49" s="1"/>
      <c r="F49" s="1"/>
    </row>
    <row r="50" spans="1:6">
      <c r="A50" s="25"/>
      <c r="B50" s="1" t="str">
        <f>E50&amp;COUNTIF($E$2:E50,E50)</f>
        <v>0</v>
      </c>
      <c r="C50" s="2" t="str">
        <f>D50&amp;COUNTIF($D$2:D50,D50)</f>
        <v>0</v>
      </c>
      <c r="D50" s="1"/>
      <c r="E50" s="1"/>
      <c r="F50" s="1"/>
    </row>
    <row r="51" spans="1:6">
      <c r="A51" s="25"/>
      <c r="B51" s="1" t="str">
        <f>E51&amp;COUNTIF($E$2:E51,E51)</f>
        <v>0</v>
      </c>
      <c r="C51" s="2" t="str">
        <f>D51&amp;COUNTIF($D$2:D51,D51)</f>
        <v>0</v>
      </c>
      <c r="D51" s="1"/>
      <c r="E51" s="1"/>
      <c r="F51" s="1"/>
    </row>
    <row r="52" spans="1:6">
      <c r="A52" s="25"/>
      <c r="B52" s="1" t="str">
        <f>E52&amp;COUNTIF($E$2:E52,E52)</f>
        <v>0</v>
      </c>
      <c r="C52" s="2" t="str">
        <f>D52&amp;COUNTIF($D$2:D52,D52)</f>
        <v>0</v>
      </c>
      <c r="D52" s="1"/>
      <c r="E52" s="1"/>
      <c r="F52" s="1"/>
    </row>
    <row r="53" spans="1:6">
      <c r="A53" s="25"/>
      <c r="B53" s="1" t="str">
        <f>E53&amp;COUNTIF($E$2:E53,E53)</f>
        <v>0</v>
      </c>
      <c r="C53" s="2" t="str">
        <f>D53&amp;COUNTIF($D$2:D53,D53)</f>
        <v>0</v>
      </c>
      <c r="D53" s="1"/>
      <c r="E53" s="1"/>
      <c r="F53" s="1"/>
    </row>
    <row r="54" spans="1:6">
      <c r="A54" s="25"/>
      <c r="B54" s="1" t="str">
        <f>E54&amp;COUNTIF($E$2:E54,E54)</f>
        <v>0</v>
      </c>
      <c r="C54" s="2" t="str">
        <f>D54&amp;COUNTIF($D$2:D54,D54)</f>
        <v>0</v>
      </c>
      <c r="D54" s="1"/>
      <c r="E54" s="1"/>
      <c r="F54" s="1"/>
    </row>
    <row r="55" spans="1:6">
      <c r="A55" s="25"/>
      <c r="B55" s="1" t="str">
        <f>E55&amp;COUNTIF($E$2:E55,E55)</f>
        <v>0</v>
      </c>
      <c r="C55" s="2" t="str">
        <f>D55&amp;COUNTIF($D$2:D55,D55)</f>
        <v>0</v>
      </c>
      <c r="D55" s="1"/>
      <c r="E55" s="1"/>
      <c r="F55" s="1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4"/>
  <sheetViews>
    <sheetView workbookViewId="0">
      <selection activeCell="B2" sqref="B2"/>
    </sheetView>
  </sheetViews>
  <sheetFormatPr defaultRowHeight="13.5"/>
  <cols>
    <col min="2" max="2" width="24.5" customWidth="1"/>
  </cols>
  <sheetData>
    <row r="1" spans="1:5">
      <c r="A1" s="1" t="s">
        <v>28</v>
      </c>
      <c r="B1" s="1" t="s">
        <v>29</v>
      </c>
      <c r="C1" s="1" t="s">
        <v>30</v>
      </c>
      <c r="D1" s="1" t="s">
        <v>31</v>
      </c>
      <c r="E1" s="1" t="s">
        <v>32</v>
      </c>
    </row>
    <row r="2" spans="1:5">
      <c r="A2" s="14" t="s">
        <v>47</v>
      </c>
      <c r="B2" s="1" t="s">
        <v>34</v>
      </c>
      <c r="C2" s="1" t="s">
        <v>50</v>
      </c>
      <c r="D2" s="1" t="s">
        <v>48</v>
      </c>
      <c r="E2" s="1" t="s">
        <v>49</v>
      </c>
    </row>
    <row r="3" spans="1:5">
      <c r="A3" s="14"/>
      <c r="B3" s="1"/>
      <c r="C3" s="1"/>
      <c r="D3" s="1"/>
      <c r="E3" s="1"/>
    </row>
    <row r="4" spans="1:5">
      <c r="A4" s="14"/>
      <c r="B4" s="1"/>
      <c r="C4" s="1"/>
      <c r="D4" s="1"/>
      <c r="E4" s="1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3</vt:i4>
      </vt:variant>
    </vt:vector>
  </HeadingPairs>
  <TitlesOfParts>
    <vt:vector size="7" baseType="lpstr">
      <vt:lpstr>回访登记表</vt:lpstr>
      <vt:lpstr>项目清单</vt:lpstr>
      <vt:lpstr>交付清单</vt:lpstr>
      <vt:lpstr>产品清单</vt:lpstr>
      <vt:lpstr>name</vt:lpstr>
      <vt:lpstr>product</vt:lpstr>
      <vt:lpstr>project</vt:lpstr>
    </vt:vector>
  </TitlesOfParts>
  <Company>ITianKong.Com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用户</dc:creator>
  <cp:lastModifiedBy>Windows 用户</cp:lastModifiedBy>
  <dcterms:created xsi:type="dcterms:W3CDTF">2018-03-21T07:35:20Z</dcterms:created>
  <dcterms:modified xsi:type="dcterms:W3CDTF">2018-03-23T08:50:45Z</dcterms:modified>
</cp:coreProperties>
</file>